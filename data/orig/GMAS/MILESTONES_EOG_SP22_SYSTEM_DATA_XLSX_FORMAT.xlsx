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G:\Georgia\575225\File Layouts\"/>
    </mc:Choice>
  </mc:AlternateContent>
  <xr:revisionPtr revIDLastSave="0" documentId="13_ncr:1_{79C51602-51B8-4CB0-86E5-6C7FD56EE8A4}" xr6:coauthVersionLast="47" xr6:coauthVersionMax="47" xr10:uidLastSave="{00000000-0000-0000-0000-000000000000}"/>
  <bookViews>
    <workbookView xWindow="-108" yWindow="-108" windowWidth="23256" windowHeight="12576" xr2:uid="{00000000-000D-0000-FFFF-FFFF00000000}"/>
  </bookViews>
  <sheets>
    <sheet name="System Layout_XLSX" sheetId="6" r:id="rId1"/>
    <sheet name="Domains Mapping" sheetId="9" r:id="rId2"/>
    <sheet name="Primary SRC (PreID) Translation" sheetId="11" r:id="rId3"/>
  </sheets>
  <definedNames>
    <definedName name="Z_4D509F17_A40C_4E5F_BEE8_8CA21C0123F3_.wvu.PrintArea" localSheetId="1">'Domains Mapping'!$C$1:$D$86</definedName>
    <definedName name="Z_74E312CB_8720_4075_8095_6CD2877439CE_.wvu.PrintArea" localSheetId="1">'Domains Mapping'!$C$1:$D$86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6" roundtripDataSignature="AMtx7mjHiCOijLR9E6zc8xUTwyq0A8DJAA=="/>
    </ext>
  </extLst>
</workbook>
</file>

<file path=xl/calcChain.xml><?xml version="1.0" encoding="utf-8"?>
<calcChain xmlns="http://schemas.openxmlformats.org/spreadsheetml/2006/main">
  <c r="C150" i="6" l="1"/>
  <c r="C151" i="6" s="1"/>
  <c r="C152" i="6" s="1"/>
  <c r="C153" i="6" s="1"/>
  <c r="C154" i="6" s="1"/>
  <c r="C155" i="6" s="1"/>
  <c r="C156" i="6" s="1"/>
  <c r="C157" i="6" s="1"/>
  <c r="C158" i="6" s="1"/>
  <c r="C159" i="6" s="1"/>
  <c r="C160" i="6" s="1"/>
  <c r="C161" i="6" s="1"/>
  <c r="C162" i="6" s="1"/>
  <c r="C163" i="6" s="1"/>
  <c r="C164" i="6" s="1"/>
  <c r="C165" i="6" s="1"/>
  <c r="C166" i="6" s="1"/>
  <c r="C167" i="6" s="1"/>
  <c r="C168" i="6" s="1"/>
  <c r="C169" i="6" s="1"/>
  <c r="C170" i="6" s="1"/>
  <c r="C171" i="6" s="1"/>
  <c r="C172" i="6" s="1"/>
  <c r="C173" i="6" s="1"/>
  <c r="C174" i="6" s="1"/>
  <c r="C175" i="6" s="1"/>
  <c r="C176" i="6" s="1"/>
  <c r="C177" i="6" s="1"/>
  <c r="C178" i="6" s="1"/>
  <c r="C179" i="6" s="1"/>
  <c r="C180" i="6" s="1"/>
  <c r="C181" i="6" s="1"/>
  <c r="C182" i="6" s="1"/>
  <c r="C183" i="6" s="1"/>
  <c r="C184" i="6" s="1"/>
  <c r="C185" i="6" s="1"/>
  <c r="C186" i="6" s="1"/>
  <c r="C187" i="6" s="1"/>
  <c r="C188" i="6" s="1"/>
  <c r="C189" i="6" s="1"/>
  <c r="C190" i="6" s="1"/>
  <c r="C191" i="6" s="1"/>
  <c r="C192" i="6" s="1"/>
  <c r="C193" i="6" s="1"/>
  <c r="C194" i="6" s="1"/>
  <c r="C195" i="6" s="1"/>
  <c r="C196" i="6" s="1"/>
  <c r="C197" i="6" s="1"/>
  <c r="C198" i="6" s="1"/>
  <c r="C199" i="6" s="1"/>
  <c r="C200" i="6" s="1"/>
  <c r="C201" i="6" s="1"/>
  <c r="C202" i="6" s="1"/>
  <c r="C203" i="6" s="1"/>
  <c r="C204" i="6" s="1"/>
  <c r="C205" i="6" s="1"/>
  <c r="C206" i="6" s="1"/>
  <c r="C208" i="6" s="1"/>
  <c r="C209" i="6" s="1"/>
  <c r="C210" i="6" s="1"/>
  <c r="C211" i="6" s="1"/>
  <c r="C212" i="6" s="1"/>
  <c r="C213" i="6" s="1"/>
  <c r="C214" i="6" s="1"/>
  <c r="C215" i="6" s="1"/>
  <c r="C216" i="6" s="1"/>
  <c r="C217" i="6" s="1"/>
  <c r="C218" i="6" s="1"/>
  <c r="C219" i="6" s="1"/>
  <c r="C220" i="6" s="1"/>
  <c r="C221" i="6" s="1"/>
  <c r="C222" i="6" s="1"/>
  <c r="C223" i="6" s="1"/>
  <c r="C224" i="6" s="1"/>
  <c r="C225" i="6" s="1"/>
  <c r="C226" i="6" s="1"/>
  <c r="C227" i="6" s="1"/>
  <c r="C228" i="6" s="1"/>
  <c r="C229" i="6" s="1"/>
  <c r="C230" i="6" s="1"/>
  <c r="C231" i="6" s="1"/>
  <c r="C232" i="6" s="1"/>
  <c r="C233" i="6" s="1"/>
  <c r="C234" i="6" s="1"/>
  <c r="C235" i="6" s="1"/>
  <c r="C236" i="6" s="1"/>
  <c r="C237" i="6" s="1"/>
  <c r="C238" i="6" s="1"/>
  <c r="C239" i="6" s="1"/>
  <c r="C240" i="6" s="1"/>
  <c r="C241" i="6" s="1"/>
  <c r="C242" i="6" s="1"/>
  <c r="C243" i="6" s="1"/>
  <c r="C244" i="6" s="1"/>
  <c r="C245" i="6" s="1"/>
  <c r="C246" i="6" s="1"/>
  <c r="C247" i="6" s="1"/>
  <c r="C248" i="6" s="1"/>
  <c r="C249" i="6" s="1"/>
  <c r="C250" i="6" s="1"/>
  <c r="C251" i="6" s="1"/>
  <c r="C252" i="6" s="1"/>
  <c r="C253" i="6" s="1"/>
  <c r="C254" i="6" s="1"/>
  <c r="C255" i="6" s="1"/>
  <c r="C256" i="6" s="1"/>
  <c r="C257" i="6" s="1"/>
  <c r="C258" i="6" s="1"/>
  <c r="C259" i="6" s="1"/>
  <c r="C260" i="6" s="1"/>
  <c r="C261" i="6" s="1"/>
  <c r="C262" i="6" s="1"/>
  <c r="C263" i="6" s="1"/>
  <c r="C264" i="6" s="1"/>
  <c r="C265" i="6" s="1"/>
  <c r="C266" i="6" s="1"/>
  <c r="C267" i="6" s="1"/>
  <c r="C268" i="6" s="1"/>
  <c r="C269" i="6" s="1"/>
  <c r="C270" i="6" s="1"/>
  <c r="C271" i="6" s="1"/>
  <c r="C272" i="6" s="1"/>
  <c r="C273" i="6" s="1"/>
  <c r="C274" i="6" s="1"/>
  <c r="C275" i="6" s="1"/>
  <c r="C276" i="6" s="1"/>
  <c r="C277" i="6" s="1"/>
  <c r="C278" i="6" s="1"/>
  <c r="C279" i="6" s="1"/>
  <c r="C280" i="6" s="1"/>
  <c r="C281" i="6" s="1"/>
  <c r="C282" i="6" s="1"/>
  <c r="C283" i="6" s="1"/>
  <c r="C284" i="6" s="1"/>
  <c r="C285" i="6" s="1"/>
  <c r="C286" i="6" s="1"/>
  <c r="C287" i="6" s="1"/>
  <c r="C288" i="6" s="1"/>
  <c r="C289" i="6" s="1"/>
  <c r="C290" i="6" s="1"/>
  <c r="C291" i="6" s="1"/>
  <c r="C292" i="6" s="1"/>
  <c r="C293" i="6" s="1"/>
  <c r="C294" i="6" s="1"/>
  <c r="C295" i="6" s="1"/>
  <c r="C296" i="6" s="1"/>
  <c r="C297" i="6" s="1"/>
  <c r="C298" i="6" s="1"/>
  <c r="C299" i="6" s="1"/>
  <c r="C300" i="6" s="1"/>
  <c r="C301" i="6" s="1"/>
  <c r="C302" i="6" s="1"/>
  <c r="C303" i="6" s="1"/>
  <c r="C304" i="6" s="1"/>
  <c r="C305" i="6" s="1"/>
  <c r="C306" i="6" s="1"/>
  <c r="C307" i="6" s="1"/>
  <c r="C308" i="6" s="1"/>
  <c r="C309" i="6" s="1"/>
  <c r="C310" i="6" s="1"/>
  <c r="C311" i="6" s="1"/>
  <c r="C312" i="6" s="1"/>
  <c r="C313" i="6" s="1"/>
  <c r="C314" i="6" s="1"/>
  <c r="C315" i="6" s="1"/>
  <c r="C316" i="6" s="1"/>
  <c r="C317" i="6" s="1"/>
  <c r="C318" i="6" s="1"/>
  <c r="C319" i="6" s="1"/>
  <c r="C320" i="6" s="1"/>
  <c r="C147" i="6"/>
  <c r="C148" i="6" s="1"/>
  <c r="C149" i="6" s="1"/>
  <c r="C146" i="6"/>
  <c r="C5" i="6"/>
  <c r="C6" i="6" s="1"/>
  <c r="C7" i="6" s="1"/>
  <c r="C8" i="6" s="1"/>
  <c r="C9" i="6" s="1"/>
  <c r="C10" i="6" s="1"/>
  <c r="C11" i="6" s="1"/>
  <c r="C12" i="6" s="1"/>
  <c r="C13" i="6" s="1"/>
  <c r="C14" i="6" s="1"/>
  <c r="C15" i="6" s="1"/>
  <c r="C16" i="6" s="1"/>
  <c r="C17" i="6" s="1"/>
  <c r="C18" i="6" s="1"/>
  <c r="C19" i="6" s="1"/>
  <c r="C20" i="6" s="1"/>
  <c r="C21" i="6" s="1"/>
  <c r="C22" i="6" s="1"/>
  <c r="C23" i="6" s="1"/>
  <c r="C24" i="6" s="1"/>
  <c r="C25" i="6" s="1"/>
  <c r="C26" i="6" s="1"/>
  <c r="C27" i="6" s="1"/>
  <c r="C28" i="6" s="1"/>
  <c r="C29" i="6" s="1"/>
  <c r="C30" i="6" s="1"/>
  <c r="C31" i="6" s="1"/>
  <c r="C32" i="6" s="1"/>
  <c r="C33" i="6" s="1"/>
  <c r="C34" i="6" s="1"/>
  <c r="C35" i="6" s="1"/>
  <c r="C36" i="6" s="1"/>
  <c r="C37" i="6" s="1"/>
  <c r="C38" i="6" s="1"/>
  <c r="C39" i="6" s="1"/>
  <c r="C40" i="6" s="1"/>
  <c r="C41" i="6" s="1"/>
  <c r="C42" i="6" s="1"/>
  <c r="C43" i="6" s="1"/>
  <c r="C44" i="6" s="1"/>
  <c r="C45" i="6" s="1"/>
  <c r="C46" i="6" s="1"/>
  <c r="C47" i="6" s="1"/>
  <c r="C48" i="6" s="1"/>
  <c r="C49" i="6" s="1"/>
  <c r="C50" i="6" s="1"/>
  <c r="C51" i="6" s="1"/>
  <c r="C52" i="6" s="1"/>
  <c r="C53" i="6" s="1"/>
  <c r="C54" i="6" s="1"/>
  <c r="C55" i="6" s="1"/>
  <c r="C56" i="6" s="1"/>
  <c r="C57" i="6" s="1"/>
  <c r="C58" i="6" s="1"/>
  <c r="C59" i="6" s="1"/>
  <c r="C60" i="6" s="1"/>
  <c r="C61" i="6" s="1"/>
  <c r="C62" i="6" s="1"/>
  <c r="C63" i="6" s="1"/>
  <c r="C64" i="6" s="1"/>
  <c r="C65" i="6" s="1"/>
  <c r="C66" i="6" s="1"/>
  <c r="C67" i="6" s="1"/>
  <c r="C68" i="6" s="1"/>
  <c r="C69" i="6" s="1"/>
  <c r="C70" i="6" s="1"/>
  <c r="C71" i="6" s="1"/>
  <c r="C72" i="6" s="1"/>
  <c r="C73" i="6" s="1"/>
  <c r="C74" i="6" s="1"/>
  <c r="C75" i="6" s="1"/>
  <c r="C76" i="6" s="1"/>
  <c r="C77" i="6" s="1"/>
  <c r="C78" i="6" s="1"/>
  <c r="C79" i="6" s="1"/>
  <c r="C80" i="6" s="1"/>
  <c r="C81" i="6" s="1"/>
  <c r="C82" i="6" s="1"/>
  <c r="C83" i="6" s="1"/>
  <c r="C84" i="6" s="1"/>
  <c r="C85" i="6" s="1"/>
  <c r="C86" i="6" s="1"/>
  <c r="C87" i="6" s="1"/>
  <c r="C88" i="6" s="1"/>
  <c r="C89" i="6" s="1"/>
  <c r="C90" i="6" s="1"/>
  <c r="C91" i="6" s="1"/>
  <c r="C92" i="6" s="1"/>
  <c r="C93" i="6" s="1"/>
  <c r="C94" i="6" s="1"/>
  <c r="C95" i="6" s="1"/>
  <c r="C96" i="6" s="1"/>
  <c r="C97" i="6" s="1"/>
  <c r="C98" i="6" s="1"/>
  <c r="C99" i="6" s="1"/>
  <c r="C100" i="6" s="1"/>
  <c r="C101" i="6" s="1"/>
  <c r="C102" i="6" s="1"/>
  <c r="C103" i="6" s="1"/>
  <c r="C104" i="6" s="1"/>
  <c r="C105" i="6" s="1"/>
  <c r="C106" i="6" s="1"/>
  <c r="C107" i="6" s="1"/>
  <c r="C108" i="6" s="1"/>
  <c r="C109" i="6" s="1"/>
  <c r="C110" i="6" s="1"/>
  <c r="C111" i="6" s="1"/>
  <c r="C112" i="6" s="1"/>
  <c r="C113" i="6" s="1"/>
  <c r="C114" i="6" s="1"/>
  <c r="C115" i="6" s="1"/>
  <c r="C116" i="6" s="1"/>
  <c r="C117" i="6" s="1"/>
  <c r="C118" i="6" s="1"/>
  <c r="C119" i="6" s="1"/>
  <c r="C120" i="6" s="1"/>
  <c r="C121" i="6" s="1"/>
  <c r="C122" i="6" s="1"/>
  <c r="C123" i="6" s="1"/>
  <c r="C124" i="6" s="1"/>
  <c r="C125" i="6" s="1"/>
  <c r="C126" i="6" s="1"/>
  <c r="C127" i="6" s="1"/>
  <c r="C128" i="6" s="1"/>
  <c r="C129" i="6" s="1"/>
  <c r="C130" i="6" s="1"/>
  <c r="C131" i="6" s="1"/>
  <c r="C132" i="6" s="1"/>
  <c r="C133" i="6" s="1"/>
  <c r="C134" i="6" s="1"/>
  <c r="C135" i="6" s="1"/>
  <c r="C136" i="6" s="1"/>
  <c r="C137" i="6" s="1"/>
  <c r="C138" i="6" s="1"/>
  <c r="C139" i="6" s="1"/>
  <c r="C140" i="6" s="1"/>
  <c r="C141" i="6" s="1"/>
  <c r="C142" i="6" s="1"/>
  <c r="C143" i="6" s="1"/>
  <c r="C144" i="6" s="1"/>
  <c r="C4" i="6"/>
</calcChain>
</file>

<file path=xl/sharedStrings.xml><?xml version="1.0" encoding="utf-8"?>
<sst xmlns="http://schemas.openxmlformats.org/spreadsheetml/2006/main" count="1396" uniqueCount="723">
  <si>
    <t>EOC_RPT_Sci</t>
  </si>
  <si>
    <t>IR_RPT_Sci</t>
  </si>
  <si>
    <t>IV_RPT_Sci</t>
  </si>
  <si>
    <t>PIV_RPT_Sci</t>
  </si>
  <si>
    <t>PTNA_RPT_Sci</t>
  </si>
  <si>
    <t>DNA_RPT_Sci</t>
  </si>
  <si>
    <t>SDUBCode_RPT_Sci</t>
  </si>
  <si>
    <t>DupInvalid_Sci</t>
  </si>
  <si>
    <t>SummaryRPTFlag_Sci</t>
  </si>
  <si>
    <t>EOC_COLLECTED_Sci</t>
  </si>
  <si>
    <t>IR_COLLECTED_Sci</t>
  </si>
  <si>
    <t>IV_COLLECTED_Sci</t>
  </si>
  <si>
    <t>PIV_COLLECTED_Sci</t>
  </si>
  <si>
    <t>SDUBCode_COLLECTED_Sci</t>
  </si>
  <si>
    <t>PTNA_COLLECTED_Sci</t>
  </si>
  <si>
    <t>PTNA_CALCULATED_Sci</t>
  </si>
  <si>
    <t>CondAdmin_COLLECTED_Sci</t>
  </si>
  <si>
    <t>AccomIEP_COLLECTED_Sci</t>
  </si>
  <si>
    <t>AccomELTPC_COLLECTED_Sci</t>
  </si>
  <si>
    <t>Accom504IAP_COLLECTED_Sci</t>
  </si>
  <si>
    <t>AccomST_COLLECTED_Sci</t>
  </si>
  <si>
    <t>AccomPRS_COLLECTED_Sci</t>
  </si>
  <si>
    <t>AccomRSP_COLLECTED_Sci</t>
  </si>
  <si>
    <t>AccomSCH_COLLECTED_Sci</t>
  </si>
  <si>
    <t>Braille_Sci</t>
  </si>
  <si>
    <t>LargePrint_Sci</t>
  </si>
  <si>
    <t>Audio_Sci</t>
  </si>
  <si>
    <t>AudioPassages_Sci</t>
  </si>
  <si>
    <t>HumanReader_Sci</t>
  </si>
  <si>
    <t>ColorChooser_Sci</t>
  </si>
  <si>
    <t>ContrastingColor_Sci</t>
  </si>
  <si>
    <t>VSL_Sci</t>
  </si>
  <si>
    <t>SS_Sci</t>
  </si>
  <si>
    <t>ACHLevel_Sci</t>
  </si>
  <si>
    <t>CondSEM_Sci</t>
  </si>
  <si>
    <t>CondSEMHigh_Sci</t>
  </si>
  <si>
    <t>CondSEMLow_Sci</t>
  </si>
  <si>
    <t>MasteryCategoryDom1_Sci</t>
  </si>
  <si>
    <t>MasteryCategoryDom2_Sci</t>
  </si>
  <si>
    <t>MasteryCategoryDom3_Sci</t>
  </si>
  <si>
    <t>MasteryCategoryDom4_Sci</t>
  </si>
  <si>
    <t>MasteryCategoryDom5_Sci</t>
  </si>
  <si>
    <t>MasteryCategoryDom6_Sci</t>
  </si>
  <si>
    <t>MasteryCategoryDom7_Sci</t>
  </si>
  <si>
    <t>MasteryCategoryDom8_Sci</t>
  </si>
  <si>
    <t>NRT_NP_Sci</t>
  </si>
  <si>
    <t>NRT_NPRange_Sci</t>
  </si>
  <si>
    <t>NRT_NCE_Sci</t>
  </si>
  <si>
    <t>DocumentID_DRCUse_Sci</t>
  </si>
  <si>
    <t>TestEventID_DRCUse_Sci</t>
  </si>
  <si>
    <t>ClassID_DRCUse_Sci</t>
  </si>
  <si>
    <t>IR_RPT_Soc</t>
  </si>
  <si>
    <t>IV_RPT_Soc</t>
  </si>
  <si>
    <t>PIV_RPT_Soc</t>
  </si>
  <si>
    <t>PTNA_RPT_Soc</t>
  </si>
  <si>
    <t>DNA_RPT_Soc</t>
  </si>
  <si>
    <t>SDUBCode_RPT_Soc</t>
  </si>
  <si>
    <t>DupInvalid_Soc</t>
  </si>
  <si>
    <t>SummaryRPTFlag_Soc</t>
  </si>
  <si>
    <t>IR_COLLECTED_Soc</t>
  </si>
  <si>
    <t>IV_COLLECTED_Soc</t>
  </si>
  <si>
    <t>PIV_COLLECTED_Soc</t>
  </si>
  <si>
    <t>SDUBCode_COLLECTED_Soc</t>
  </si>
  <si>
    <t>PTNA_COLLECTED_Soc</t>
  </si>
  <si>
    <t>PTNA_CALCULATED_Soc</t>
  </si>
  <si>
    <t>CondAdmin_COLLECTED_Soc</t>
  </si>
  <si>
    <t>AccomIEP_COLLECTED_Soc</t>
  </si>
  <si>
    <t>AccomELTPC_COLLECTED_Soc</t>
  </si>
  <si>
    <t>Accom504IAP_COLLECTED_Soc</t>
  </si>
  <si>
    <t>AccomST_COLLECTED_Soc</t>
  </si>
  <si>
    <t>AccomPRS_COLLECTED_Soc</t>
  </si>
  <si>
    <t>AccomRSP_COLLECTED_Soc</t>
  </si>
  <si>
    <t>AccomSCH_COLLECTED_Soc</t>
  </si>
  <si>
    <t>Braille_Soc</t>
  </si>
  <si>
    <t>LargePrint_Soc</t>
  </si>
  <si>
    <t>Audio_Soc</t>
  </si>
  <si>
    <t>AudioPassages_Soc</t>
  </si>
  <si>
    <t>HumanReader_Soc</t>
  </si>
  <si>
    <t>ColorChooser_Soc</t>
  </si>
  <si>
    <t>VSL_Soc</t>
  </si>
  <si>
    <t>ContrastingColor_Soc</t>
  </si>
  <si>
    <t>SS_Soc</t>
  </si>
  <si>
    <t>ACHLevel_Soc</t>
  </si>
  <si>
    <t>CondSEM_Soc</t>
  </si>
  <si>
    <t>CondSEMHigh_Soc</t>
  </si>
  <si>
    <t>CondSEMLow_Soc</t>
  </si>
  <si>
    <t>MasteryCategoryDom1_Soc</t>
  </si>
  <si>
    <t>MasteryCategoryDom2_Soc</t>
  </si>
  <si>
    <t>MasteryCategoryDom3_Soc</t>
  </si>
  <si>
    <t>MasteryCategoryDom4_Soc</t>
  </si>
  <si>
    <t>MasteryCategoryDom5_Soc</t>
  </si>
  <si>
    <t>MasteryCategoryDom6_Soc</t>
  </si>
  <si>
    <t>MasteryCategoryDom7_Soc</t>
  </si>
  <si>
    <t>MasteryCategoryDom8_Soc</t>
  </si>
  <si>
    <t>NRT_NP_Soc</t>
  </si>
  <si>
    <t>NRT_NPRange_Soc</t>
  </si>
  <si>
    <t>NRT_NCE_Soc</t>
  </si>
  <si>
    <t>DocumentID_DRCUse_Soc</t>
  </si>
  <si>
    <t>TestEventID_DRCUse_Soc</t>
  </si>
  <si>
    <t>ClassID_DRCUse_Soc</t>
  </si>
  <si>
    <t>IR_RPT_Math</t>
  </si>
  <si>
    <t>IV_RPT_Math</t>
  </si>
  <si>
    <t>PIV_RPT_Math</t>
  </si>
  <si>
    <t>PTNA_RPT_Math</t>
  </si>
  <si>
    <t>DNA_RPT_Math</t>
  </si>
  <si>
    <t>SDUBCode_RPT_Math</t>
  </si>
  <si>
    <t>DupInvalid_Math</t>
  </si>
  <si>
    <t>SummaryRPTFlag_Math</t>
  </si>
  <si>
    <t>IR_COLLECTED_Math</t>
  </si>
  <si>
    <t>IV_COLLECTED_Math</t>
  </si>
  <si>
    <t>PIV_COLLECTED_Math</t>
  </si>
  <si>
    <t>SDUBCode_COLLECTED_Math</t>
  </si>
  <si>
    <t>PTNA_COLLECTED_Math</t>
  </si>
  <si>
    <t>PTNA_CALCULATED_Math</t>
  </si>
  <si>
    <t>CondAdmin_COLLECTED_Math</t>
  </si>
  <si>
    <t>AccomIEP_COLLECTED_Math</t>
  </si>
  <si>
    <t>AccomELTPC_COLLECTED_Math</t>
  </si>
  <si>
    <t>Accom504IAP_COLLECTED_Math</t>
  </si>
  <si>
    <t>AccomST_COLLECTED_Math</t>
  </si>
  <si>
    <t>AccomPRS_COLLECTED_Math</t>
  </si>
  <si>
    <t>AccomRSP_COLLECTED_Math</t>
  </si>
  <si>
    <t>AccomSCH_COLLECTED_Math</t>
  </si>
  <si>
    <t>Braille_Math</t>
  </si>
  <si>
    <t>LargePrint_Math</t>
  </si>
  <si>
    <t>Audio_Math</t>
  </si>
  <si>
    <t>AudioPassages_Math</t>
  </si>
  <si>
    <t>HumanReader_Math</t>
  </si>
  <si>
    <t>ColorChooser_Math</t>
  </si>
  <si>
    <t>ContrastingColor_Math</t>
  </si>
  <si>
    <t>VSL_Math</t>
  </si>
  <si>
    <t>SS_Math</t>
  </si>
  <si>
    <t>ACHLevel_Math</t>
  </si>
  <si>
    <t>CondSEM_Math</t>
  </si>
  <si>
    <t>CondSEMHigh_Math</t>
  </si>
  <si>
    <t>CondSEMLow_Math</t>
  </si>
  <si>
    <t>MasteryCategoryDom1_Math</t>
  </si>
  <si>
    <t>MasteryCategoryDom2_Math</t>
  </si>
  <si>
    <t>MasteryCategoryDom3_Math</t>
  </si>
  <si>
    <t>MasteryCategoryDom4_Math</t>
  </si>
  <si>
    <t>MasteryCategoryDom5_Math</t>
  </si>
  <si>
    <t>MasteryCategoryDom6_Math</t>
  </si>
  <si>
    <t>MasteryCategoryDom7_Math</t>
  </si>
  <si>
    <t>MasteryCategoryDom8_Math</t>
  </si>
  <si>
    <t>NRT_NP_Math</t>
  </si>
  <si>
    <t>NRT_NPRange_Math</t>
  </si>
  <si>
    <t>NRT_NCE_Math</t>
  </si>
  <si>
    <t>DocumentID_DRCUse_Math</t>
  </si>
  <si>
    <t>TestEventID_DRCUse_Math</t>
  </si>
  <si>
    <t>ClassID_DRCUse_Math</t>
  </si>
  <si>
    <t>SWD Flag</t>
  </si>
  <si>
    <t>Test Date</t>
  </si>
  <si>
    <t>TestAdmin</t>
  </si>
  <si>
    <t>Customer-Defined Field</t>
  </si>
  <si>
    <t>Length</t>
  </si>
  <si>
    <t>Data Type Field</t>
  </si>
  <si>
    <t>Valid Values</t>
  </si>
  <si>
    <t>Comments/Description</t>
  </si>
  <si>
    <t>GTID (For Reporting)</t>
  </si>
  <si>
    <t>GTID_RPT</t>
  </si>
  <si>
    <t>String</t>
  </si>
  <si>
    <t>0000000000 - 9999999999 
Embedded blanks (space) 
Blank 
Multiple Mark ("-")</t>
  </si>
  <si>
    <t>RESA Name</t>
  </si>
  <si>
    <t>RESAName_RPT</t>
  </si>
  <si>
    <t>Alpha-Numeric  
Blank</t>
  </si>
  <si>
    <t>Some Systems won't have a RESA Name
RESA Names will not include "RESA" in the name.  Also, the names will truncate if longer than 20 characters.</t>
  </si>
  <si>
    <t>Filler</t>
  </si>
  <si>
    <t>System Code (For Reporting)</t>
  </si>
  <si>
    <t>SysCode_RPT</t>
  </si>
  <si>
    <t>000 - 999</t>
  </si>
  <si>
    <t>School Code (For Reporting)</t>
  </si>
  <si>
    <t>SchCode_RPT</t>
  </si>
  <si>
    <t>0000 - 9999</t>
  </si>
  <si>
    <t>System Name (For Reporting)</t>
  </si>
  <si>
    <t>SysName_RPT</t>
  </si>
  <si>
    <t>A-Z, embedded blanks (space)</t>
  </si>
  <si>
    <t>School Name (For Reporting)</t>
  </si>
  <si>
    <t>SchName_RPT</t>
  </si>
  <si>
    <t>Class Name (For Reporting)</t>
  </si>
  <si>
    <t>CLSName_RPT</t>
  </si>
  <si>
    <t>Alpha-Numeric                                  
Special characters allowed: dash, apostrophe, period, comma</t>
  </si>
  <si>
    <t>Student Last Name (For Reporting)</t>
  </si>
  <si>
    <t>StuLastName_RPT</t>
  </si>
  <si>
    <t>Student First Name (For Reporting)</t>
  </si>
  <si>
    <t>StuFirstName_RPT</t>
  </si>
  <si>
    <t>Student Middle Initial (For Reporting)</t>
  </si>
  <si>
    <t>StuMidInitial_RPT</t>
  </si>
  <si>
    <t>A-Z, Blank, Multiple Mark ("-")</t>
  </si>
  <si>
    <t>Tested Grade (For Reporting)</t>
  </si>
  <si>
    <t>TestedGrade_RPT</t>
  </si>
  <si>
    <t>03-08</t>
  </si>
  <si>
    <t>Date of Birth: Month (For Reporting)</t>
  </si>
  <si>
    <t>StuDOBMonth_RPT</t>
  </si>
  <si>
    <t>01-12, Blank, Multiple Mark ("-")</t>
  </si>
  <si>
    <t>Date of Birth: Day (For Reporting)</t>
  </si>
  <si>
    <t>StuDOBDay_RPT</t>
  </si>
  <si>
    <t>00-31, Blank, Multiple Mark ("-")</t>
  </si>
  <si>
    <t>Date of Birth: Year (For Reporting)</t>
  </si>
  <si>
    <t>StuDOBYear_RPT</t>
  </si>
  <si>
    <t>Embedded Blank (space)
Blank
Multiple Mark ("-")</t>
  </si>
  <si>
    <t>Gender (For Reporting)</t>
  </si>
  <si>
    <t>StuGender_RPT</t>
  </si>
  <si>
    <t>F = Female                                                            
M = Male       
Blank, Multiple Mark ("-")</t>
  </si>
  <si>
    <t>Ethnicity/Race - Resolved (For Reporting)</t>
  </si>
  <si>
    <t>EthnicityRace_RPT</t>
  </si>
  <si>
    <t>Numeric</t>
  </si>
  <si>
    <t>1 = Asian/Pacific Islander
2 = Black/Non-Hispanic                            
3 = Hispanic                                           
4 = Native American/Alaskan Native 
5 = White/Non-Hispanic                                
6 = Multi-racial                                               
Blank = No Response Selected</t>
  </si>
  <si>
    <t>SRC Code 01: Visual Impairment or Blind - Resolved (For Reporting)</t>
  </si>
  <si>
    <t>SRC01_RPT</t>
  </si>
  <si>
    <t>0 = SRC Not Indicated, 
1 = SRC Indicated</t>
  </si>
  <si>
    <t>SRC Code 02: Deaf or Hard of Hearing - Resolved (For Reporting)</t>
  </si>
  <si>
    <t>SRC02_RPT</t>
  </si>
  <si>
    <t>SRC Code 03: Deaf and Blind- Resolved (For Reporting)</t>
  </si>
  <si>
    <t>SRC03_RPT</t>
  </si>
  <si>
    <t>SRC Code 04: Specific Learning Disabilities - Resolved (For Reporting)</t>
  </si>
  <si>
    <t>SRC04_RPT</t>
  </si>
  <si>
    <t>SRC Code 05: Mild Intellectual Disabilities - Resolved (For Reporting)</t>
  </si>
  <si>
    <t>SRC05_RPT</t>
  </si>
  <si>
    <t>SRC Code 06: Traumatic Brain Injury - Resolved (For Reporting)</t>
  </si>
  <si>
    <t>SRC06_RPT</t>
  </si>
  <si>
    <t>SRC Code 07: Moderate/Severe/Profound Intellectual Disabilities - Resolved (For Reporting)</t>
  </si>
  <si>
    <t>SRC07_RPT</t>
  </si>
  <si>
    <t>SRC Code 08: Autism - Resolved (For Reporting)</t>
  </si>
  <si>
    <t>SRC08_RPT</t>
  </si>
  <si>
    <t>SRC Code 09: Orthopedic Impairments - Resolved (For Reporting)</t>
  </si>
  <si>
    <t>SRC09_RPT</t>
  </si>
  <si>
    <t>SRC Code 10: Speech-Language Impairments - Resolved (For Reporting)</t>
  </si>
  <si>
    <t>SRC10_RPT</t>
  </si>
  <si>
    <t>SRC Code 11: Emotional and Behavioral Disorders - Resolved (For Reporting)</t>
  </si>
  <si>
    <t>SRC11_RPT</t>
  </si>
  <si>
    <t>SRC Code 12: Other Health Impairments - Resolved (For Reporting)</t>
  </si>
  <si>
    <t>SRC12_RPT</t>
  </si>
  <si>
    <t>SRC Code 13: English Learner - Resolved (For Reporting)</t>
  </si>
  <si>
    <t>SRC13_RPT</t>
  </si>
  <si>
    <t>SRC Code 14: Section 504 Accommodations - Resolved (For Reporting)</t>
  </si>
  <si>
    <t>SRC14_RPT</t>
  </si>
  <si>
    <t>SRC Code 15: Significant Developmental Delay - Resolved (For Reporting)</t>
  </si>
  <si>
    <t>SRC15_RPT</t>
  </si>
  <si>
    <t>SRC Code 18: Migrant Certified - Resolved (For Reporting)</t>
  </si>
  <si>
    <t>SRC18_RPT</t>
  </si>
  <si>
    <t>SRC Code 19: English Learner - Monitored - Resolved (For Reporting)</t>
  </si>
  <si>
    <t>SRC19_RPT</t>
  </si>
  <si>
    <t>Retest Flag - ELA</t>
  </si>
  <si>
    <t>RetestFlag_ELA</t>
  </si>
  <si>
    <t>0 = No
1 = Yes</t>
  </si>
  <si>
    <t>0 for everyone in Spring Main admin
1 for everyone in Summer Retest admin who retested for ELA</t>
  </si>
  <si>
    <t>Retest Flag - Math</t>
  </si>
  <si>
    <t>RetestFlag_Math</t>
  </si>
  <si>
    <t>0 for everyone in Spring Main admin
1 for everyone in Summer Retest admin who retested for Math</t>
  </si>
  <si>
    <t>ELA - Irregularity (IR) - Resolved (For Reporting)</t>
  </si>
  <si>
    <t>IR_RPT_ELA</t>
  </si>
  <si>
    <t>0 = Not an Irregular Administration                     
1 = Irregular Administration</t>
  </si>
  <si>
    <t>ELA - Invalidation (IV) - Resolved (For Reporting)</t>
  </si>
  <si>
    <t>IV_RPT_ELA</t>
  </si>
  <si>
    <t>0 = Not an Invalid Administration           
1 = Invalid Administration</t>
  </si>
  <si>
    <t>ELA - Participation Invalidation (PIV) - Resolved (For Reporting)</t>
  </si>
  <si>
    <t>PIV_RPT_ELA</t>
  </si>
  <si>
    <t>0 = Not PIV 
1 = PIV</t>
  </si>
  <si>
    <t xml:space="preserve">ELA - PTNA Flag (For Reporting) </t>
  </si>
  <si>
    <t>PTNA_RPT_ELA</t>
  </si>
  <si>
    <t>0 = Not PTNA
1 = PTNA</t>
  </si>
  <si>
    <t>ELA - DNA Flag</t>
  </si>
  <si>
    <t>DNA_RPT_ELA</t>
  </si>
  <si>
    <t>0 = Attempted  
1 = Did Not Attempt</t>
  </si>
  <si>
    <t>ELA - Irregularity Code - IR/IV/PIV Code - Resolved (For Reporting)</t>
  </si>
  <si>
    <t>SDUBCode_RPT_ELA</t>
  </si>
  <si>
    <t>00000-66666
Blank = No IR/IV/PIV</t>
  </si>
  <si>
    <t>ELA - Invalidated Test due to duplication</t>
  </si>
  <si>
    <t>DupInvalid_ELA</t>
  </si>
  <si>
    <t>0 = No, this test was not invalidated due to a duplication
1 = Yes, this test was invalidated due to a duplication</t>
  </si>
  <si>
    <t>0 = Did not mark EOC  
1 = Marked EOC</t>
  </si>
  <si>
    <t>Math - Irregularity (IR) - Resolved (For Reporting)</t>
  </si>
  <si>
    <t>Math - Invalidation (IV) - Resolved (For Reporting)</t>
  </si>
  <si>
    <t>Math - Participation Invalidation (PIV) - Resolved (For Reporting)</t>
  </si>
  <si>
    <t xml:space="preserve">Math - PTNA Flag (For Reporting) </t>
  </si>
  <si>
    <t>Math - DNA Flag</t>
  </si>
  <si>
    <t>Math - Irregularity Code - IR/IV/PIV Code - Resolved (For Reporting)</t>
  </si>
  <si>
    <t>Math - Invalidated Test due to duplication</t>
  </si>
  <si>
    <t>Sci - EOC test taken - Resolved (For Reporting)</t>
  </si>
  <si>
    <t>0 = Did not mark EOC  
1 = Marked EOC
Blank</t>
  </si>
  <si>
    <t>Sci - Irregularity (IR) - Resolved (For Reporting)</t>
  </si>
  <si>
    <t>Sci - Invalidation (IV) - Resolved (For Reporting)</t>
  </si>
  <si>
    <t>Sci - Participation Invalidation (PIV) - Resolved (For Reporting)</t>
  </si>
  <si>
    <t xml:space="preserve">Sci - PTNA Flag (For Reporting) </t>
  </si>
  <si>
    <t>Sci - DNA Flag</t>
  </si>
  <si>
    <t>Sci - Irregularity Code - IR/IV/PIV Code - Resolved (For Reporting)</t>
  </si>
  <si>
    <t>Sci - Invalidated Test due to duplication</t>
  </si>
  <si>
    <t>Soc - Irregularity (IR) - Resolved (For Reporting)</t>
  </si>
  <si>
    <t>Soc - Invalidation (IV) - Resolved (For Reporting)</t>
  </si>
  <si>
    <t>Soc - Participation Invalidation (PIV) - Resolved (For Reporting)</t>
  </si>
  <si>
    <t xml:space="preserve">Soc - PTNA Flag (For Reporting) </t>
  </si>
  <si>
    <t>Soc - DNA Flag</t>
  </si>
  <si>
    <t>Soc - Irregularity Code - IR/IV/PIV Code - Resolved (For Reporting)</t>
  </si>
  <si>
    <t>Soc - Invalidated Test due to duplication</t>
  </si>
  <si>
    <t>SWDFlag</t>
  </si>
  <si>
    <t xml:space="preserve">Filler </t>
  </si>
  <si>
    <t>ELA - Summary Report Student Flag</t>
  </si>
  <si>
    <t>SummaryRPTFlag_ELA</t>
  </si>
  <si>
    <t>0 = No (student not included in summaries)
1 = Yes (student included in summaries)</t>
  </si>
  <si>
    <t>Math - Summary Report Student Flag</t>
  </si>
  <si>
    <t>Sci - Summary Report Student Flag</t>
  </si>
  <si>
    <t>Soc - Summary Report Student Flag</t>
  </si>
  <si>
    <t>ELA - Test Form for Scoring</t>
  </si>
  <si>
    <t>TestFormScoring_ELA</t>
  </si>
  <si>
    <t>Mode of Testing</t>
  </si>
  <si>
    <t>TestMode</t>
  </si>
  <si>
    <t>E = Electronic/Online Test
P = Paper/Pencil Test</t>
  </si>
  <si>
    <t>ELA - Irregularity (IR) (Collected - Answer Doc/Online)</t>
  </si>
  <si>
    <t>IR_COLLECTED_ELA</t>
  </si>
  <si>
    <t>0 = Not IR
1 = IR</t>
  </si>
  <si>
    <t>ELA - Invalidation (IV) (Collected - Answer Doc/Online)</t>
  </si>
  <si>
    <t>IV_COLLECTED_ELA</t>
  </si>
  <si>
    <t>0 = Not IV
1 = IV</t>
  </si>
  <si>
    <t>ELA - Participation Invalidation (PIV) (Collected - Answer Doc/Online)</t>
  </si>
  <si>
    <t>PIV_COLLECTED_ELA</t>
  </si>
  <si>
    <t>0 = Not PIV
1 = PIV</t>
  </si>
  <si>
    <t>ELA - Irregularity Code - IR/IV/PIV Code (Collected - Answer Doc/Online)</t>
  </si>
  <si>
    <t>SDUBCode_COLLECTED_ELA</t>
  </si>
  <si>
    <t>00000-66666
Embedded Blank (space)
Blank = No IR/IV/PIV
Multiple Mark = "-"</t>
  </si>
  <si>
    <t>ELA - PTNA (Collected - Answer Doc or Online)</t>
  </si>
  <si>
    <t>PTNA_COLLECTED_ELA</t>
  </si>
  <si>
    <t>0 = No  
1 = Yes</t>
  </si>
  <si>
    <t>ELA - PTNA Calculated</t>
  </si>
  <si>
    <t>PTNA_CALCULATED_ELA</t>
  </si>
  <si>
    <t>ELA - Conditional Administration (Collected - Answer Doc/Online)</t>
  </si>
  <si>
    <t>CondAdmin_COLLECTED_ELA</t>
  </si>
  <si>
    <t>Math - Irregularity (IR) (Collected - Answer Doc/Online)</t>
  </si>
  <si>
    <t>Math - Invalidation (IV) (Collected - Answer Doc/Online)</t>
  </si>
  <si>
    <t>Math - Participation Invalidation (PIV) (Collected - Answer Doc/Online)</t>
  </si>
  <si>
    <t>Math - Irregularity Code - IR/IV/PIV Code (Collected - Answer Doc/Online)</t>
  </si>
  <si>
    <t>Math - PTNA (Collected - Answer Doc or Online)</t>
  </si>
  <si>
    <t>Math - PTNA Calculated</t>
  </si>
  <si>
    <t>Math - Conditional Administration (Collected - Answer Doc/Online)</t>
  </si>
  <si>
    <t>0 = No
1 = Yes
blank</t>
  </si>
  <si>
    <t>Sci - Irregularity (IR) (Collected - Answer Doc/Online)</t>
  </si>
  <si>
    <t>Sci - Invalidation (IV) (Collected - Answer Doc/Online)</t>
  </si>
  <si>
    <t>Sci - Participation Invalidation (PIV) (Collected - Answer Doc/Online)</t>
  </si>
  <si>
    <t>Sci - Irregularity Code - IR/IV/PIV Code (Collected - Answer Doc/Online)</t>
  </si>
  <si>
    <t>Sci - PTNA (Collected - Answer Doc or Online)</t>
  </si>
  <si>
    <t>Sci - PTNA Calculated</t>
  </si>
  <si>
    <t>Sci - Conditional Administration (Collected - Answer Doc/Online)</t>
  </si>
  <si>
    <t>Soc - Irregularity (IR) (Collected - Answer Doc/Online)</t>
  </si>
  <si>
    <t>Soc - Invalidation (IV) (Collected - Answer Doc/Online)</t>
  </si>
  <si>
    <t>Soc - Participation Invalidation (PIV) (Collected - Answer Doc/Online)</t>
  </si>
  <si>
    <t>Soc - Irregularity Code - IR/IV/PIV Code (Collected - Answer Doc/Online)</t>
  </si>
  <si>
    <t>Soc - PTNA (Collected - Answer Doc or Online)</t>
  </si>
  <si>
    <t>Soc - PTNA Calculated</t>
  </si>
  <si>
    <t>Soc - Conditional Administration (Collected - Answer Doc/Online)</t>
  </si>
  <si>
    <t xml:space="preserve">ELA - Accomm. Allowed - IEP </t>
  </si>
  <si>
    <t>AccomIEP_COLLECTED_ELA</t>
  </si>
  <si>
    <t xml:space="preserve">ELA - Accomm. Allowed - EL/TPC </t>
  </si>
  <si>
    <t>AccomELTPC_COLLECTED_ELA</t>
  </si>
  <si>
    <t xml:space="preserve">ELA - Accomm. Allowed - 504 IAP </t>
  </si>
  <si>
    <t>Accom504IAP_COLLECTED_ELA</t>
  </si>
  <si>
    <t>ELA - Accommodations - Setting</t>
  </si>
  <si>
    <t>AccomST_COLLECTED_ELA</t>
  </si>
  <si>
    <t>ELA - Accommodations - Presentation</t>
  </si>
  <si>
    <t>AccomPRS_COLLECTED_ELA</t>
  </si>
  <si>
    <t>ELA - Accommodations - Response</t>
  </si>
  <si>
    <t>AccomRSP_COLLECTED_ELA</t>
  </si>
  <si>
    <t>ELA - Accommodations - Scheduling</t>
  </si>
  <si>
    <t>AccomSCH_COLLECTED_ELA</t>
  </si>
  <si>
    <t xml:space="preserve">ELA - Braille </t>
  </si>
  <si>
    <t>Braille_ELA</t>
  </si>
  <si>
    <t xml:space="preserve">ELA - Large Print (LP) </t>
  </si>
  <si>
    <t>LargePrint_ELA</t>
  </si>
  <si>
    <t>ELA - Online Setting - Audio</t>
  </si>
  <si>
    <t>Audio_ELA</t>
  </si>
  <si>
    <t>ELA - Online Setting - AudioPassages</t>
  </si>
  <si>
    <t>AudioPassages_ELA</t>
  </si>
  <si>
    <t>ELA - Online Setting - Human Reader</t>
  </si>
  <si>
    <t>HumanReader_ELA</t>
  </si>
  <si>
    <t>ELA - Online Setting - Color Chooser</t>
  </si>
  <si>
    <t>ColorChooser_ELA</t>
  </si>
  <si>
    <t>ELA - Online Setting - Contrasting Color</t>
  </si>
  <si>
    <t>ContrastingColor_ELA</t>
  </si>
  <si>
    <t>ELA - Online Setting - Video Sign Language</t>
  </si>
  <si>
    <t>VSL_ELA</t>
  </si>
  <si>
    <t>ELA - Online Setting - Scribe (Transcription)</t>
  </si>
  <si>
    <t>Scribe_ELA</t>
  </si>
  <si>
    <t xml:space="preserve">Math - Accomm. Allowed - IEP </t>
  </si>
  <si>
    <t xml:space="preserve">Math - Accomm. Allowed - EL/TPC </t>
  </si>
  <si>
    <t xml:space="preserve">Math - Accomm. Allowed - 504 IAP </t>
  </si>
  <si>
    <t>Math - Accommodations - Setting</t>
  </si>
  <si>
    <t>Math - Accommodations - Presentation</t>
  </si>
  <si>
    <t>Math - Accommodations - Response</t>
  </si>
  <si>
    <t>Math - Accommodations - Scheduling</t>
  </si>
  <si>
    <t xml:space="preserve">Math - Braille </t>
  </si>
  <si>
    <t xml:space="preserve">Math - Large Print (LP) </t>
  </si>
  <si>
    <t>Math - Online Setting - Audio</t>
  </si>
  <si>
    <t>Math - Online Setting - AudioPassages</t>
  </si>
  <si>
    <t>Will be 0</t>
  </si>
  <si>
    <t>Math - Online Setting - Human Reader</t>
  </si>
  <si>
    <t>Math - Online Setting - Color Chooser</t>
  </si>
  <si>
    <t>Math - Online Setting - Contrasting Color</t>
  </si>
  <si>
    <t>Math - Online Setting - Video Sign Language</t>
  </si>
  <si>
    <t>Math - Online Setting - Scribe (Transcription)</t>
  </si>
  <si>
    <t>Scribe_Math</t>
  </si>
  <si>
    <t xml:space="preserve">Sci - Accomm. Allowed - IEP </t>
  </si>
  <si>
    <t xml:space="preserve">Sci - Accomm. Allowed - EL/TPC </t>
  </si>
  <si>
    <t xml:space="preserve">Sci - Accomm. Allowed - 504 IAP </t>
  </si>
  <si>
    <t>Sci - Accommodations - Setting</t>
  </si>
  <si>
    <t>Sci - Accommodations - Presentation</t>
  </si>
  <si>
    <t>Sci - Accommodations - Response</t>
  </si>
  <si>
    <t>Sci - Accommodations - Scheduling</t>
  </si>
  <si>
    <t xml:space="preserve">Sci - Braille </t>
  </si>
  <si>
    <t xml:space="preserve">Sci - Large Print (LP) </t>
  </si>
  <si>
    <t>Sci - Online Setting - Audio</t>
  </si>
  <si>
    <t>Sci - Online Setting - AudioPassages</t>
  </si>
  <si>
    <t>Sci - Online Setting - Human Reader</t>
  </si>
  <si>
    <t>Sci - Online Setting - Color Chooser</t>
  </si>
  <si>
    <t>Sci - Online Setting - Contrasting Color</t>
  </si>
  <si>
    <t>Sci - Online Setting - Video Sign Language</t>
  </si>
  <si>
    <t>Sci - Online Setting - Scribe (Transcription)</t>
  </si>
  <si>
    <t>Scribe_Sci</t>
  </si>
  <si>
    <t xml:space="preserve">Soc - Accomm. Allowed - IEP </t>
  </si>
  <si>
    <t xml:space="preserve">Soc - Accomm. Allowed - EL/TPC </t>
  </si>
  <si>
    <t xml:space="preserve">Soc - Accomm. Allowed - 504 IAP </t>
  </si>
  <si>
    <t>Soc - Accommodations - Setting</t>
  </si>
  <si>
    <t>Soc - Accommodations - Presentation</t>
  </si>
  <si>
    <t>Soc - Accommodations - Response</t>
  </si>
  <si>
    <t>Soc - Accommodations - Scheduling</t>
  </si>
  <si>
    <t xml:space="preserve">Soc - Braille </t>
  </si>
  <si>
    <t xml:space="preserve">Soc - Large Print (LP) </t>
  </si>
  <si>
    <t>Soc - Online Setting - Audio</t>
  </si>
  <si>
    <t>Soc - Online Setting - AudioPassages</t>
  </si>
  <si>
    <t>Soc - Online Setting - Human Reader</t>
  </si>
  <si>
    <t>Soc - Online Setting - Color Chooser</t>
  </si>
  <si>
    <t>Soc - Online Setting - Contrasting Color</t>
  </si>
  <si>
    <t>Soc - Online Setting - Video Sign Language</t>
  </si>
  <si>
    <t>Soc - Online Setting - Scribe (Transcription)</t>
  </si>
  <si>
    <t>Scribe_Soc</t>
  </si>
  <si>
    <t>Local Optional Coding (1st column)</t>
  </si>
  <si>
    <t>LocalOptCoding1</t>
  </si>
  <si>
    <t>0-9, Blank, Multimark (-), A-Z, a-z, punctuation</t>
  </si>
  <si>
    <t>Local Optional Coding (2nd column)</t>
  </si>
  <si>
    <t>LocalOptCoding2</t>
  </si>
  <si>
    <t>Local Optional Coding (3rd column)</t>
  </si>
  <si>
    <t>LocalOptCoding3</t>
  </si>
  <si>
    <t>Local Optional Coding (4th column)</t>
  </si>
  <si>
    <t>LocalOptCoding4</t>
  </si>
  <si>
    <t>Scores and Item Responses</t>
  </si>
  <si>
    <t>ELA - Scale Score</t>
  </si>
  <si>
    <t>SS_ELA</t>
  </si>
  <si>
    <t>0-999
Blank = No Score</t>
  </si>
  <si>
    <t>ELA - Achievement Level</t>
  </si>
  <si>
    <t>ACHLevel_ELA</t>
  </si>
  <si>
    <t>1 = Beginning Learner 
2 = Developing Learner
3 = Proficient Learner
4 = Distinguished Learner 
Blank = No Score</t>
  </si>
  <si>
    <t xml:space="preserve">ELA - Conditional SEM </t>
  </si>
  <si>
    <t>CondSEM_ELA</t>
  </si>
  <si>
    <t>0-100
Blank = No Score</t>
  </si>
  <si>
    <t>ELA - Conditional SEM High (student SS + CSEM)</t>
  </si>
  <si>
    <t>CondSEMHigh_ELA</t>
  </si>
  <si>
    <t>ELA - Conditional SEM Low (student SS - CSEM)</t>
  </si>
  <si>
    <t>CondSEMLow_ELA</t>
  </si>
  <si>
    <t>ELA - Lexile Score Numeric</t>
  </si>
  <si>
    <t>Lexile</t>
  </si>
  <si>
    <t>0 - 1700
Blank = No Score</t>
  </si>
  <si>
    <t>Students with a "BRxxxL" Lexile Score are to have this data item populated with zero. 
Students with "xxxxL" Lexile Score are to have this data item populated with the numerals in the Lexile Score.</t>
  </si>
  <si>
    <t>ELA - Lexile Score</t>
  </si>
  <si>
    <t>LexileL</t>
  </si>
  <si>
    <t>BR400L - BR5L, 0L - 1700L
Blank = No Score</t>
  </si>
  <si>
    <t>ELA - Lexile Range Low Score (Lexile - 100L)</t>
  </si>
  <si>
    <t>LexileLow</t>
  </si>
  <si>
    <t>5L - 1600L, BR
Blank = No Score</t>
  </si>
  <si>
    <t>Students with a "BRxxxL" Lexile Score, and those with 0L - 100L are to have this data item populated with "BR".  
Students with "xxxxL" Lexile Score greater than 100L are to have this data item populated as xxxxL, with the numbers equaling 100 less than the regular Lexile Score.</t>
  </si>
  <si>
    <t>ELA - Lexile Range High Score (Lexile + 50L)</t>
  </si>
  <si>
    <t>LexileHigh</t>
  </si>
  <si>
    <t>50L - 1750L
Blank = No Score</t>
  </si>
  <si>
    <t>Students with a "BRxxxL" Lexile Score, are to have this data item populated with "50L". 
Students with "xxxxL" Lexile Score are to have this data item populated as xxxxL, with the numbers equaling 50 more than the regular Lexile Score.</t>
  </si>
  <si>
    <t>Stretch Band</t>
  </si>
  <si>
    <t>StretchBand</t>
  </si>
  <si>
    <t xml:space="preserve">1 = Below the Stretch Band
2 = Within the Stretch Band
3 = Above the Stretch Band
Blank = No Score for ELA </t>
  </si>
  <si>
    <t>ELA - Reading Status</t>
  </si>
  <si>
    <t>ReadingStatus</t>
  </si>
  <si>
    <t>ELA - Extended Writing Prompt Genre</t>
  </si>
  <si>
    <t>EXTWRTGenre</t>
  </si>
  <si>
    <t>1 = Argumentative
2 = Informational / Explanatory
3 = Opinion</t>
  </si>
  <si>
    <t>Argumentative: valid for Grades 6 - 8
Informational/Explanatory: valid all Grades
Opinion:  valid for Grades 3 - 5</t>
  </si>
  <si>
    <t>EXTWRT1Score</t>
  </si>
  <si>
    <t>0-4
Zero (0) is score for students with condition codes only
Blank = No Score</t>
  </si>
  <si>
    <t>EXTWRT2Score</t>
  </si>
  <si>
    <t>0-3
Zero (0) is score for students with condition codes only
Blank = No Score</t>
  </si>
  <si>
    <t>EXTWRT1CondCode</t>
  </si>
  <si>
    <t>A, B, C, D , E, F, G 
Blank = No Condition Code when  ELA is taken 
A = Blank
B = Copied
C = Too limited to score
D = Non English/Foreign Language
E = Off Topic
F = Offensive
G = Illegible/Incomprehensible</t>
  </si>
  <si>
    <t>EXTWRT2CondCode</t>
  </si>
  <si>
    <t>ELA - Narrative Writing Response - Score</t>
  </si>
  <si>
    <t>NARRWRTScore</t>
  </si>
  <si>
    <t>ELA - Narrative Writing Response - Condition Code</t>
  </si>
  <si>
    <t>NARRWRTCondCode</t>
  </si>
  <si>
    <t>ELA - Mastery Category - Domain/Objective 1</t>
  </si>
  <si>
    <t>MasteryCategoryDom1_ELA</t>
  </si>
  <si>
    <t>1 = Remediate Learning
2 = Monitor Learning
3 = Accelerate Learning 
9 = Too few points to report
Blank = No Score</t>
  </si>
  <si>
    <t>ELA - Mastery Category - Domain/Objective 2</t>
  </si>
  <si>
    <t>MasteryCategoryDom2_ELA</t>
  </si>
  <si>
    <t>ELA - Mastery Category - Domain/Objective 3</t>
  </si>
  <si>
    <t>MasteryCategoryDom3_ELA</t>
  </si>
  <si>
    <t>ELA - Mastery Category - Domain/Objective 4</t>
  </si>
  <si>
    <t>MasteryCategoryDom4_ELA</t>
  </si>
  <si>
    <t>ELA - Mastery Category - Domain/Objective 5</t>
  </si>
  <si>
    <t>MasteryCategoryDom5_ELA</t>
  </si>
  <si>
    <t>ELA - Mastery Category - Domain/Objective 6</t>
  </si>
  <si>
    <t>MasteryCategoryDom6_ELA</t>
  </si>
  <si>
    <t>ELA - Mastery Category - Domain/Objective 7</t>
  </si>
  <si>
    <t>MasteryCategoryDom7_ELA</t>
  </si>
  <si>
    <t>ELA - Mastery Category - Domain/Objective 8</t>
  </si>
  <si>
    <t>MasteryCategoryDom8_ELA</t>
  </si>
  <si>
    <t>ELA - Mastery Category - Domain/Objective 9</t>
  </si>
  <si>
    <t>MasteryCategoryDom9_ELA</t>
  </si>
  <si>
    <t>ELA - Terranova NRT Score - NP</t>
  </si>
  <si>
    <t>NRT_NP_ELA</t>
  </si>
  <si>
    <t>1-99
Blank = No Score</t>
  </si>
  <si>
    <t>ELA - Terranova NRT Score - NP Range</t>
  </si>
  <si>
    <t>NRT_NPRange_ELA</t>
  </si>
  <si>
    <t>01-99,
Blank = No Score</t>
  </si>
  <si>
    <t>ELA - Terranova NRT Score - NCE</t>
  </si>
  <si>
    <t>NRT_NCE_ELA</t>
  </si>
  <si>
    <t>Math - Scale Score</t>
  </si>
  <si>
    <t>Math - Achievement Level</t>
  </si>
  <si>
    <t xml:space="preserve">Math - Conditional SEM </t>
  </si>
  <si>
    <t>Math - Conditional SEM High (student SS + CSEM)</t>
  </si>
  <si>
    <t>Math - Conditional SEM Low (student SS - CSEM)</t>
  </si>
  <si>
    <t>Blank</t>
  </si>
  <si>
    <t>Math - Mastery Category - Domain/Objective 1</t>
  </si>
  <si>
    <t>Math - Mastery Category - Domain/Objective 2</t>
  </si>
  <si>
    <t>Math - Mastery Category - Domain/Objective 3</t>
  </si>
  <si>
    <t>Math - Mastery Category - Domain/Objective 4</t>
  </si>
  <si>
    <t>Math - Mastery Category - Domain/Objective 5</t>
  </si>
  <si>
    <t>Math - Mastery Category - Domain/Objective 6</t>
  </si>
  <si>
    <t>Placeholder for future.  Will contain no data at this time.</t>
  </si>
  <si>
    <t>Math - Mastery Category - Domain/Objective 7</t>
  </si>
  <si>
    <t>Math - Mastery Category - Domain/Objective 8</t>
  </si>
  <si>
    <t>Math - Terranova NRT Score - NP</t>
  </si>
  <si>
    <t>Math - Terranova NRT Score - NP Range</t>
  </si>
  <si>
    <t>Math - Terranova NRT Score - NCE</t>
  </si>
  <si>
    <t>Sci - Assessment Taken</t>
  </si>
  <si>
    <t>Assmnt_Sci</t>
  </si>
  <si>
    <t>Sci - Scale Score</t>
  </si>
  <si>
    <t>Sci - Achievement Level</t>
  </si>
  <si>
    <t xml:space="preserve">Sci - Conditional SEM </t>
  </si>
  <si>
    <t>Sci - Conditional SEM High (student SS + CSEM)</t>
  </si>
  <si>
    <t>Sci - Conditional SEM Low (student SS - CSEM)</t>
  </si>
  <si>
    <t>Sci - Mastery Category - Domain/Objective 1</t>
  </si>
  <si>
    <t>Sci - Mastery Category - Domain/Objective 2</t>
  </si>
  <si>
    <t>Sci - Mastery Category - Domain/Objective 3</t>
  </si>
  <si>
    <t>Sci - Mastery Category - Domain/Objective 4</t>
  </si>
  <si>
    <t>Sci - Mastery Category - Domain/Objective 5</t>
  </si>
  <si>
    <t>Sci - Mastery Category - Domain/Objective 6</t>
  </si>
  <si>
    <t>Sci - Mastery Category - Domain/Objective 7</t>
  </si>
  <si>
    <t>Sci - Mastery Category - Domain/Objective 8</t>
  </si>
  <si>
    <t>Sci - Terranova NRT Score - NP</t>
  </si>
  <si>
    <t>Sci - Terranova NRT Score - NP Range</t>
  </si>
  <si>
    <t>Sci - Terranova NRT Score - NCE</t>
  </si>
  <si>
    <t>Soc - Scale Score</t>
  </si>
  <si>
    <t>Soc - Achievement Level</t>
  </si>
  <si>
    <t xml:space="preserve">Soc - Conditional SEM </t>
  </si>
  <si>
    <t>Soc - Conditional SEM High (student SS + CSEM)</t>
  </si>
  <si>
    <t>Soc - Conditional SEM Low (student SS - CSEM)</t>
  </si>
  <si>
    <t>Soc - Mastery Category - Domain/Objective 1</t>
  </si>
  <si>
    <t>Soc - Mastery Category - Domain/Objective 2</t>
  </si>
  <si>
    <t>Soc - Mastery Category - Domain/Objective 3</t>
  </si>
  <si>
    <t>Soc - Mastery Category - Domain/Objective 4</t>
  </si>
  <si>
    <t>Soc - Mastery Category - Domain/Objective 5</t>
  </si>
  <si>
    <t>Soc - Mastery Category - Domain/Objective 6</t>
  </si>
  <si>
    <t>Soc - Mastery Category - Domain/Objective 7</t>
  </si>
  <si>
    <t>Soc - Mastery Category - Domain/Objective 8</t>
  </si>
  <si>
    <t>Soc - Terranova NRT Score - NP</t>
  </si>
  <si>
    <t>Soc - Terranova NRT Score - NP Range</t>
  </si>
  <si>
    <t>Soc - Terranova NRT Score - NCE</t>
  </si>
  <si>
    <t>Test Administration</t>
  </si>
  <si>
    <t>SPRING 2022
SUMMER 2022</t>
  </si>
  <si>
    <t>TestDate</t>
  </si>
  <si>
    <t>MMDDYY</t>
  </si>
  <si>
    <t>Administration Indicator</t>
  </si>
  <si>
    <t>AdminInd</t>
  </si>
  <si>
    <t>1 = Main
2 = Retest</t>
  </si>
  <si>
    <t>File Run Type</t>
  </si>
  <si>
    <t>FileRunType</t>
  </si>
  <si>
    <t>End of Record Indicator</t>
  </si>
  <si>
    <t>EOR</t>
  </si>
  <si>
    <t>X = End of Record</t>
  </si>
  <si>
    <t>Student ID - Vendor Use</t>
  </si>
  <si>
    <t>StudentID_DRCUse</t>
  </si>
  <si>
    <t>ELA Document ID - Vendor Use</t>
  </si>
  <si>
    <t>DocumentID_DRCUse_ELA</t>
  </si>
  <si>
    <t>Math Document ID - Vendor Use</t>
  </si>
  <si>
    <t>Sci Document ID - Vendor Use</t>
  </si>
  <si>
    <t>Soc Document ID - Vendor Use</t>
  </si>
  <si>
    <t>ELA Test Event ID - Vendor Use</t>
  </si>
  <si>
    <t>TestEventID_DRCUse_ELA</t>
  </si>
  <si>
    <t>Math Test Event ID - Vendor Use</t>
  </si>
  <si>
    <t>Sci Test Event ID - Vendor Use</t>
  </si>
  <si>
    <t>Soc Test Event ID - Vendor Use</t>
  </si>
  <si>
    <t>Class ID - Vendor Use</t>
  </si>
  <si>
    <t>ClassID_DRCUse</t>
  </si>
  <si>
    <t>ELA Class ID - Vendor Use</t>
  </si>
  <si>
    <t>ClassID_DRCUse_ELA</t>
  </si>
  <si>
    <t>Math Class ID - Vendor Use</t>
  </si>
  <si>
    <t>Sci Class ID - Vendor Use</t>
  </si>
  <si>
    <t>Soc Class ID - Vendor Use</t>
  </si>
  <si>
    <t>Charter School ID - Vendor Use</t>
  </si>
  <si>
    <t>CharterSchoolID_DRCUse</t>
  </si>
  <si>
    <t>RESA Code - Vendor Use</t>
  </si>
  <si>
    <t>ResaCode_DRCUse</t>
  </si>
  <si>
    <t>Other - Vendor Use</t>
  </si>
  <si>
    <t>Other_Fields_DRCUse</t>
  </si>
  <si>
    <t>Georgia EOG Spring/Summer Main 2022 - System Student Data File XLSX layout</t>
  </si>
  <si>
    <r>
      <rPr>
        <b/>
        <sz val="11"/>
        <color theme="1"/>
        <rFont val="Calibri"/>
      </rPr>
      <t xml:space="preserve">Field Name
</t>
    </r>
    <r>
      <rPr>
        <sz val="9"/>
        <color theme="1"/>
        <rFont val="Calibri"/>
      </rPr>
      <t>(Does not apply to the State File - Applies to the Systems XLSX File Only)</t>
    </r>
  </si>
  <si>
    <t>Column Position</t>
  </si>
  <si>
    <r>
      <rPr>
        <sz val="11"/>
        <color theme="1"/>
        <rFont val="Calibri"/>
      </rPr>
      <t>This is the Test Session Name which is reported as the Class Name.</t>
    </r>
    <r>
      <rPr>
        <sz val="11"/>
        <color theme="1"/>
        <rFont val="Calibri"/>
      </rPr>
      <t xml:space="preserve">
Class name will be truncated if longer than 24 characters.</t>
    </r>
  </si>
  <si>
    <t xml:space="preserve">A-Z, embedded blanks (space), hyphen, apostrophe, period, Multiple Mark ("-") </t>
  </si>
  <si>
    <r>
      <rPr>
        <sz val="11"/>
        <color rgb="FF000000"/>
        <rFont val="Calibri"/>
      </rPr>
      <t xml:space="preserve">A-Z, embedded blanks (space), hyphen, apostrophe, period,  
</t>
    </r>
    <r>
      <rPr>
        <sz val="11"/>
        <color rgb="FF000000"/>
        <rFont val="Calibri"/>
      </rPr>
      <t>Blank</t>
    </r>
    <r>
      <rPr>
        <sz val="11"/>
        <color rgb="FF000000"/>
        <rFont val="Calibri"/>
      </rPr>
      <t xml:space="preserve">
Multiple Mark ("-")</t>
    </r>
  </si>
  <si>
    <t>For students loaded from SIS integrations, this field will be populated with the values received from the SIS files,  else this will be populated with the values from the MSU uploads or entered in the portal.</t>
  </si>
  <si>
    <r>
      <rPr>
        <strike/>
        <sz val="11"/>
        <color theme="1"/>
        <rFont val="Calibri"/>
      </rPr>
      <t xml:space="preserve">Math - EOC test taken - Resolved (For Reporting)
</t>
    </r>
    <r>
      <rPr>
        <sz val="11"/>
        <color theme="1"/>
        <rFont val="Calibri"/>
      </rPr>
      <t>Filler</t>
    </r>
  </si>
  <si>
    <r>
      <rPr>
        <strike/>
        <sz val="11"/>
        <color theme="1"/>
        <rFont val="Calibri"/>
      </rPr>
      <t xml:space="preserve">EOC_RPT_Math
</t>
    </r>
    <r>
      <rPr>
        <sz val="11"/>
        <color theme="1"/>
        <rFont val="Calibri"/>
      </rPr>
      <t>Filler</t>
    </r>
  </si>
  <si>
    <t>EOC Math exemption not valid for Spring 2021 EOG testing, so '0' reported for all students.</t>
  </si>
  <si>
    <t>For 2022, this field is being used to identify students in grade 8 that should take the HS Physical Science test (value "1") rather than the Grade 8 Science assessment (value "0").  Blank for everyone in grades 3 - 7.</t>
  </si>
  <si>
    <r>
      <rPr>
        <b/>
        <sz val="11"/>
        <color theme="1"/>
        <rFont val="Calibri"/>
      </rPr>
      <t>For P/P records:</t>
    </r>
    <r>
      <rPr>
        <u/>
        <sz val="11"/>
        <color theme="1"/>
        <rFont val="Calibri"/>
      </rPr>
      <t xml:space="preserve">
</t>
    </r>
    <r>
      <rPr>
        <sz val="11"/>
        <color theme="1"/>
        <rFont val="Calibri"/>
      </rPr>
      <t xml:space="preserve">C1, BR
</t>
    </r>
    <r>
      <rPr>
        <b/>
        <sz val="11"/>
        <color theme="1"/>
        <rFont val="Calibri"/>
      </rPr>
      <t>For Online records:</t>
    </r>
    <r>
      <rPr>
        <sz val="11"/>
        <color theme="1"/>
        <rFont val="Calibri"/>
      </rPr>
      <t xml:space="preserve">
A1, A3, A5, A7, A9, A11, B2, B4, B6, B8, B10, B12, C1, BR, VSL</t>
    </r>
  </si>
  <si>
    <r>
      <rPr>
        <strike/>
        <sz val="11"/>
        <color theme="1"/>
        <rFont val="Calibri"/>
      </rPr>
      <t xml:space="preserve">Math - EOC test taken (Collected - Answer Doc/Online)
</t>
    </r>
    <r>
      <rPr>
        <sz val="11"/>
        <color theme="1"/>
        <rFont val="Calibri"/>
      </rPr>
      <t>Filler</t>
    </r>
  </si>
  <si>
    <r>
      <rPr>
        <strike/>
        <sz val="11"/>
        <color theme="1"/>
        <rFont val="Calibri"/>
      </rPr>
      <t xml:space="preserve">EOC_COLLECTED_Math
</t>
    </r>
    <r>
      <rPr>
        <sz val="11"/>
        <color theme="1"/>
        <rFont val="Calibri"/>
      </rPr>
      <t>Filler</t>
    </r>
  </si>
  <si>
    <t>Reflects the value the district submitted online.  However, EOC Math exemption not valid for Spring 2021 EOG testing.</t>
  </si>
  <si>
    <t>Sci - EOC test taken (Collected - Answer Doc/MSU file/SIS file)</t>
  </si>
  <si>
    <t>"1" Indicates grade 8 student should take HS Physical Science rather than Grade 8 Science. "0" or blank would indicate the student should take the regular Grade 8 Science assessment. Can come from the MSU file, SIS feed, or Grade 8 with HS Physical Science paper test scanned. Will be blank for all students in grades 3-7.</t>
  </si>
  <si>
    <r>
      <rPr>
        <b/>
        <u/>
        <sz val="11"/>
        <color theme="1"/>
        <rFont val="Calibri"/>
      </rPr>
      <t xml:space="preserve">Reading Status:
</t>
    </r>
    <r>
      <rPr>
        <sz val="11"/>
        <color theme="1"/>
        <rFont val="Calibri"/>
      </rPr>
      <t>1 = Below Grade Level
2 = Grade Level or Above
9 = Too few points to report
Blank = No Score</t>
    </r>
  </si>
  <si>
    <r>
      <rPr>
        <sz val="11"/>
        <color theme="1"/>
        <rFont val="Calibri"/>
      </rPr>
      <t xml:space="preserve">ELA - Extended Writing Task - </t>
    </r>
    <r>
      <rPr>
        <sz val="11"/>
        <color theme="1"/>
        <rFont val="Calibri"/>
      </rPr>
      <t>Trait 1 Score</t>
    </r>
  </si>
  <si>
    <r>
      <rPr>
        <sz val="11"/>
        <color theme="1"/>
        <rFont val="Calibri"/>
      </rPr>
      <t xml:space="preserve">ELA - Extended Writing Task - </t>
    </r>
    <r>
      <rPr>
        <sz val="11"/>
        <color theme="1"/>
        <rFont val="Calibri"/>
      </rPr>
      <t>Trait 2 Score</t>
    </r>
  </si>
  <si>
    <r>
      <rPr>
        <sz val="11"/>
        <color theme="1"/>
        <rFont val="Calibri"/>
      </rPr>
      <t xml:space="preserve">ELA - Extended Writing Task - </t>
    </r>
    <r>
      <rPr>
        <sz val="11"/>
        <color theme="1"/>
        <rFont val="Calibri"/>
      </rPr>
      <t>Trait 1 Condition Code</t>
    </r>
  </si>
  <si>
    <r>
      <rPr>
        <sz val="11"/>
        <color theme="1"/>
        <rFont val="Calibri"/>
      </rPr>
      <t xml:space="preserve">ELA - Extended Writing Task - </t>
    </r>
    <r>
      <rPr>
        <sz val="11"/>
        <color theme="1"/>
        <rFont val="Calibri"/>
      </rPr>
      <t>Trait 2 Condition Code</t>
    </r>
  </si>
  <si>
    <t>ELA Subdomain 1 - Key Ideas and Details</t>
  </si>
  <si>
    <t>ELA Subdomain 2 - Craft and Structure/Integration of Knowledge and Ideas</t>
  </si>
  <si>
    <t>ELA Subdomain 3 - Vocabulary Acquisition and Use</t>
  </si>
  <si>
    <t>ELA Subdomain 4 - Reading Literary Text</t>
  </si>
  <si>
    <t>ELA Subdomain 5 - Reading Informational Text</t>
  </si>
  <si>
    <t>ELA Subdomain 6 - Writing</t>
  </si>
  <si>
    <t>ELA Subdomain 7 - Language</t>
  </si>
  <si>
    <t>Blank for all students</t>
  </si>
  <si>
    <t>1 = On Grade Science
2 = HS Physical Science
blank = Science not Assessed</t>
  </si>
  <si>
    <t>New for 2022, indicates which Science Assessment is being reported for the student (based on test submitted online or answer document scanned). "2" is only valid for students in Grade 8 that took the HS Physical Science assessment. Students in Grade 5, or those in Grade 8 that took the Grade 8 Science assessment will have a value of "1". Will be blank for all other students.</t>
  </si>
  <si>
    <r>
      <rPr>
        <sz val="11"/>
        <color theme="1"/>
        <rFont val="Calibri"/>
      </rPr>
      <t>MAIN = MAIN
RTST = RETEST
STRG = STRAGGLERS</t>
    </r>
    <r>
      <rPr>
        <i/>
        <sz val="11"/>
        <color theme="1"/>
        <rFont val="Calibri"/>
      </rPr>
      <t xml:space="preserve">
</t>
    </r>
    <r>
      <rPr>
        <sz val="11"/>
        <color theme="1"/>
        <rFont val="Calibri"/>
      </rPr>
      <t>INVL = INVALIDATION
RSCR = RESCORE</t>
    </r>
  </si>
  <si>
    <t xml:space="preserve">Georgia Main EOG Spring 2022 Domain Mapping </t>
  </si>
  <si>
    <t>Operational</t>
  </si>
  <si>
    <t>Grade 3</t>
  </si>
  <si>
    <t>English Language Arts</t>
  </si>
  <si>
    <t>Domain Name</t>
  </si>
  <si>
    <t>Domain Number in Layout</t>
  </si>
  <si>
    <t>Reading and Vocabulary</t>
  </si>
  <si>
    <t>Writing and Language</t>
  </si>
  <si>
    <t>Key Ideas and Details</t>
  </si>
  <si>
    <t>Craft and Structure/Integration of Knowledge and Ideas</t>
  </si>
  <si>
    <t>Vocabulary Acquisition and Use</t>
  </si>
  <si>
    <t>Reading Literary Text</t>
  </si>
  <si>
    <t>Reading Informational Text</t>
  </si>
  <si>
    <t xml:space="preserve">Writing  </t>
  </si>
  <si>
    <t>Language</t>
  </si>
  <si>
    <t>Mathematics</t>
  </si>
  <si>
    <t>Operations and Algebraic Thinking</t>
  </si>
  <si>
    <t>Number and Operations</t>
  </si>
  <si>
    <t>Measurement and Data</t>
  </si>
  <si>
    <t>Geometry</t>
  </si>
  <si>
    <t>Grade 4</t>
  </si>
  <si>
    <t>Number and Operations in Base 10</t>
  </si>
  <si>
    <t>Number and Operations - Fractions</t>
  </si>
  <si>
    <t>Grade 5</t>
  </si>
  <si>
    <t>Science</t>
  </si>
  <si>
    <t>Earth Science</t>
  </si>
  <si>
    <t>Physical Science</t>
  </si>
  <si>
    <t>Life Science</t>
  </si>
  <si>
    <t>Grade 6</t>
  </si>
  <si>
    <t>Ratios and Proportional Relationships</t>
  </si>
  <si>
    <t>The Number System</t>
  </si>
  <si>
    <t>Expressions and Equations</t>
  </si>
  <si>
    <t>Statistics and Probability</t>
  </si>
  <si>
    <t>Grade 7</t>
  </si>
  <si>
    <t>Grade 8</t>
  </si>
  <si>
    <t>Numbers, Expressions, and Equations</t>
  </si>
  <si>
    <t>Algebra and Functions</t>
  </si>
  <si>
    <t>Grade 8 Science</t>
  </si>
  <si>
    <t>Matter</t>
  </si>
  <si>
    <t>Energy</t>
  </si>
  <si>
    <t>Motion</t>
  </si>
  <si>
    <t>Waves</t>
  </si>
  <si>
    <t>Force</t>
  </si>
  <si>
    <t>HS Physical Science</t>
  </si>
  <si>
    <t>Chemistry: Atomic and Nuclear Theory and the Periodic Table</t>
  </si>
  <si>
    <t>Chemistry: Chemical Reactions and Properties of Matter</t>
  </si>
  <si>
    <t>Physics: Energy, Force, and Motion</t>
  </si>
  <si>
    <t>Physics: Waves, Electricity, and Magnetism</t>
  </si>
  <si>
    <t>Social Studies</t>
  </si>
  <si>
    <t>History</t>
  </si>
  <si>
    <t>Geography</t>
  </si>
  <si>
    <t>Government/Civics</t>
  </si>
  <si>
    <t>Economics</t>
  </si>
  <si>
    <t>Primary SRC Code Translation</t>
  </si>
  <si>
    <t>Original - Pre-ID Value</t>
  </si>
  <si>
    <t>Primary SRC Code</t>
  </si>
  <si>
    <t>Translated -Pre-ID Value</t>
  </si>
  <si>
    <t>P</t>
  </si>
  <si>
    <t>Mild Intellectual Disability</t>
  </si>
  <si>
    <t>Q</t>
  </si>
  <si>
    <t>Moderate Intellectual Disability</t>
  </si>
  <si>
    <t>R</t>
  </si>
  <si>
    <t>Severe Intellectual Disability</t>
  </si>
  <si>
    <t>S</t>
  </si>
  <si>
    <t>Profound Intellectual Disability</t>
  </si>
  <si>
    <t>T</t>
  </si>
  <si>
    <t>Emotional/Behavioral Disorder</t>
  </si>
  <si>
    <t>U</t>
  </si>
  <si>
    <t>Specific Learning Disability</t>
  </si>
  <si>
    <t>V</t>
  </si>
  <si>
    <t>Orthopedic Impairment</t>
  </si>
  <si>
    <t>W</t>
  </si>
  <si>
    <t>Hearing Impairment</t>
  </si>
  <si>
    <t>X</t>
  </si>
  <si>
    <t>Deaf</t>
  </si>
  <si>
    <t>Y</t>
  </si>
  <si>
    <t>Other Health Impairment</t>
  </si>
  <si>
    <t>Z</t>
  </si>
  <si>
    <t>Visual Impairment</t>
  </si>
  <si>
    <t>Blind</t>
  </si>
  <si>
    <t>Deaf and Blind</t>
  </si>
  <si>
    <t>Speech/Language Impairment</t>
  </si>
  <si>
    <t>Autism</t>
  </si>
  <si>
    <t>Traumatic Brain Injury</t>
  </si>
  <si>
    <t>Significant Developmental Delay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</si>
</sst>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rgb="FF000000"/>
      <name val="Calibri"/>
    </font>
    <font>
      <b/>
      <sz val="12"/>
      <color theme="1"/>
      <name val="Calibri"/>
    </font>
    <font>
      <sz val="11"/>
      <color theme="1"/>
      <name val="Calibri"/>
    </font>
    <font>
      <sz val="11"/>
      <name val="Calibri"/>
    </font>
    <font>
      <b/>
      <sz val="11"/>
      <color theme="1"/>
      <name val="Calibri"/>
    </font>
    <font>
      <sz val="9"/>
      <color theme="1"/>
      <name val="Calibri"/>
    </font>
    <font>
      <b/>
      <sz val="16"/>
      <color rgb="FF000000"/>
      <name val="Calibri"/>
    </font>
    <font>
      <strike/>
      <sz val="11"/>
      <color theme="1"/>
      <name val="Calibri"/>
    </font>
    <font>
      <i/>
      <strike/>
      <sz val="11"/>
      <color theme="1"/>
      <name val="Calibri"/>
    </font>
    <font>
      <i/>
      <sz val="11"/>
      <color theme="1"/>
      <name val="Calibri"/>
    </font>
    <font>
      <sz val="11"/>
      <color rgb="FFFF0000"/>
      <name val="Calibri"/>
    </font>
    <font>
      <b/>
      <sz val="12"/>
      <color rgb="FF000000"/>
      <name val="Calibri"/>
    </font>
    <font>
      <b/>
      <sz val="11"/>
      <color rgb="FF006100"/>
      <name val="Calibri"/>
    </font>
    <font>
      <sz val="11"/>
      <color rgb="FF006100"/>
      <name val="Calibri"/>
    </font>
    <font>
      <sz val="9"/>
      <color rgb="FF000000"/>
      <name val="Times New Roman"/>
    </font>
    <font>
      <sz val="9"/>
      <color theme="1"/>
      <name val="Times New Roman"/>
    </font>
    <font>
      <sz val="14"/>
      <color rgb="FF000000"/>
      <name val="Times New Roman"/>
    </font>
    <font>
      <sz val="12"/>
      <color rgb="FF000000"/>
      <name val="Times New Roman"/>
    </font>
    <font>
      <b/>
      <u/>
      <sz val="11"/>
      <color theme="1"/>
      <name val="Calibri"/>
    </font>
    <font>
      <u/>
      <sz val="11"/>
      <color theme="1"/>
      <name val="Calibri"/>
    </font>
  </fonts>
  <fills count="21">
    <fill>
      <patternFill patternType="none"/>
    </fill>
    <fill>
      <patternFill patternType="gray125"/>
    </fill>
    <fill>
      <patternFill patternType="solid">
        <fgColor rgb="FFFFFFFF"/>
        <bgColor rgb="FFFFFFFF"/>
      </patternFill>
    </fill>
    <fill>
      <patternFill patternType="solid">
        <fgColor rgb="FFFDE9D9"/>
        <bgColor rgb="FFFDE9D9"/>
      </patternFill>
    </fill>
    <fill>
      <patternFill patternType="solid">
        <fgColor rgb="FFDAEEF3"/>
        <bgColor rgb="FFDAEEF3"/>
      </patternFill>
    </fill>
    <fill>
      <patternFill patternType="solid">
        <fgColor rgb="FFD6E3BC"/>
        <bgColor rgb="FFD6E3BC"/>
      </patternFill>
    </fill>
    <fill>
      <patternFill patternType="solid">
        <fgColor rgb="FFE5DFEC"/>
        <bgColor rgb="FFE5DFEC"/>
      </patternFill>
    </fill>
    <fill>
      <patternFill patternType="solid">
        <fgColor rgb="FFBFBFBF"/>
        <bgColor rgb="FFBFBFBF"/>
      </patternFill>
    </fill>
    <fill>
      <patternFill patternType="solid">
        <fgColor rgb="FFD8D8D8"/>
        <bgColor rgb="FFD8D8D8"/>
      </patternFill>
    </fill>
    <fill>
      <patternFill patternType="solid">
        <fgColor rgb="FF00FF00"/>
        <bgColor rgb="FF00FF00"/>
      </patternFill>
    </fill>
    <fill>
      <patternFill patternType="solid">
        <fgColor rgb="FFB4C6E7"/>
        <bgColor rgb="FFB4C6E7"/>
      </patternFill>
    </fill>
    <fill>
      <patternFill patternType="solid">
        <fgColor rgb="FF8DB3E2"/>
        <bgColor rgb="FF8DB3E2"/>
      </patternFill>
    </fill>
    <fill>
      <patternFill patternType="solid">
        <fgColor rgb="FF92CDDC"/>
        <bgColor rgb="FF92CDDC"/>
      </patternFill>
    </fill>
    <fill>
      <patternFill patternType="solid">
        <fgColor rgb="FFDBE5F1"/>
        <bgColor rgb="FFDBE5F1"/>
      </patternFill>
    </fill>
    <fill>
      <patternFill patternType="solid">
        <fgColor rgb="FFE5B8B7"/>
        <bgColor rgb="FFE5B8B7"/>
      </patternFill>
    </fill>
    <fill>
      <patternFill patternType="solid">
        <fgColor rgb="FFC6EFCE"/>
        <bgColor rgb="FFC6EFCE"/>
      </patternFill>
    </fill>
    <fill>
      <patternFill patternType="solid">
        <fgColor rgb="FFC2D69B"/>
        <bgColor rgb="FFC2D69B"/>
      </patternFill>
    </fill>
    <fill>
      <patternFill patternType="solid">
        <fgColor theme="8" tint="0.59999389629810485"/>
        <bgColor rgb="FFFFFF00"/>
      </patternFill>
    </fill>
    <fill>
      <patternFill patternType="solid">
        <fgColor rgb="FF53FC10"/>
        <bgColor rgb="FFB4C6E7"/>
      </patternFill>
    </fill>
    <fill>
      <patternFill patternType="solid">
        <fgColor rgb="FF53FC10"/>
        <bgColor rgb="FFFFF2CC"/>
      </patternFill>
    </fill>
    <fill>
      <patternFill patternType="solid">
        <fgColor rgb="FF53FC10"/>
        <bgColor rgb="FF00FF00"/>
      </patternFill>
    </fill>
  </fills>
  <borders count="41">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bottom style="thin">
        <color rgb="FF000000"/>
      </bottom>
      <diagonal/>
    </border>
    <border>
      <left/>
      <right style="medium">
        <color rgb="FF000000"/>
      </right>
      <top/>
      <bottom style="thin">
        <color rgb="FF000000"/>
      </bottom>
      <diagonal/>
    </border>
    <border>
      <left/>
      <right style="medium">
        <color rgb="FF000000"/>
      </right>
      <top style="thin">
        <color rgb="FF000000"/>
      </top>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bottom style="thin">
        <color rgb="FF000000"/>
      </bottom>
      <diagonal/>
    </border>
  </borders>
  <cellStyleXfs count="1">
    <xf numFmtId="0" fontId="0" fillId="0" borderId="0"/>
  </cellStyleXfs>
  <cellXfs count="182">
    <xf numFmtId="0" fontId="0" fillId="0" borderId="0" xfId="0" applyFont="1" applyAlignment="1"/>
    <xf numFmtId="0" fontId="4" fillId="8" borderId="12" xfId="0" applyFont="1" applyFill="1" applyBorder="1" applyAlignment="1">
      <alignment horizontal="center" vertical="center" wrapText="1"/>
    </xf>
    <xf numFmtId="0" fontId="2" fillId="4" borderId="13" xfId="0" applyFont="1" applyFill="1" applyBorder="1" applyAlignment="1">
      <alignment horizontal="left" vertical="top" wrapText="1"/>
    </xf>
    <xf numFmtId="0" fontId="2" fillId="4" borderId="14" xfId="0" applyFont="1" applyFill="1" applyBorder="1" applyAlignment="1">
      <alignment vertical="top" wrapText="1"/>
    </xf>
    <xf numFmtId="0" fontId="2" fillId="4" borderId="14" xfId="0" applyFont="1" applyFill="1" applyBorder="1" applyAlignment="1">
      <alignment horizontal="center" vertical="top"/>
    </xf>
    <xf numFmtId="0" fontId="2" fillId="4" borderId="14" xfId="0" applyFont="1" applyFill="1" applyBorder="1" applyAlignment="1">
      <alignment horizontal="left" vertical="top"/>
    </xf>
    <xf numFmtId="0" fontId="2" fillId="4" borderId="14" xfId="0" quotePrefix="1" applyFont="1" applyFill="1" applyBorder="1" applyAlignment="1">
      <alignment horizontal="left" vertical="top" wrapText="1"/>
    </xf>
    <xf numFmtId="0" fontId="0" fillId="4" borderId="15" xfId="0" applyFont="1" applyFill="1" applyBorder="1" applyAlignment="1">
      <alignment vertical="top" wrapText="1"/>
    </xf>
    <xf numFmtId="0" fontId="2" fillId="4" borderId="16" xfId="0" applyFont="1" applyFill="1" applyBorder="1" applyAlignment="1">
      <alignment vertical="top" wrapText="1"/>
    </xf>
    <xf numFmtId="0" fontId="2" fillId="4" borderId="6" xfId="0" applyFont="1" applyFill="1" applyBorder="1" applyAlignment="1">
      <alignment vertical="top" wrapText="1"/>
    </xf>
    <xf numFmtId="0" fontId="2" fillId="4" borderId="6" xfId="0" applyFont="1" applyFill="1" applyBorder="1" applyAlignment="1">
      <alignment horizontal="center" vertical="top"/>
    </xf>
    <xf numFmtId="0" fontId="2" fillId="4" borderId="6" xfId="0" applyFont="1" applyFill="1" applyBorder="1" applyAlignment="1">
      <alignment horizontal="left" vertical="top"/>
    </xf>
    <xf numFmtId="0" fontId="2" fillId="4" borderId="17" xfId="0" applyFont="1" applyFill="1" applyBorder="1" applyAlignment="1">
      <alignment vertical="top" wrapText="1"/>
    </xf>
    <xf numFmtId="0" fontId="7" fillId="4" borderId="17" xfId="0" applyFont="1" applyFill="1" applyBorder="1" applyAlignment="1">
      <alignment vertical="top" wrapText="1"/>
    </xf>
    <xf numFmtId="0" fontId="0" fillId="4" borderId="6" xfId="0" applyFont="1" applyFill="1" applyBorder="1" applyAlignment="1">
      <alignment vertical="top" wrapText="1"/>
    </xf>
    <xf numFmtId="0" fontId="7" fillId="4" borderId="6" xfId="0" applyFont="1" applyFill="1" applyBorder="1" applyAlignment="1">
      <alignment vertical="top" wrapText="1"/>
    </xf>
    <xf numFmtId="16" fontId="2" fillId="4" borderId="6" xfId="0" quotePrefix="1" applyNumberFormat="1" applyFont="1" applyFill="1" applyBorder="1" applyAlignment="1">
      <alignment vertical="top" wrapText="1"/>
    </xf>
    <xf numFmtId="0" fontId="2" fillId="4" borderId="6" xfId="0" quotePrefix="1" applyFont="1" applyFill="1" applyBorder="1" applyAlignment="1">
      <alignment vertical="top" wrapText="1"/>
    </xf>
    <xf numFmtId="0" fontId="2" fillId="4" borderId="6" xfId="0" applyFont="1" applyFill="1" applyBorder="1" applyAlignment="1">
      <alignment horizontal="left" vertical="top" wrapText="1"/>
    </xf>
    <xf numFmtId="0" fontId="4" fillId="4" borderId="17" xfId="0" applyFont="1" applyFill="1" applyBorder="1" applyAlignment="1">
      <alignment vertical="top" wrapText="1"/>
    </xf>
    <xf numFmtId="0" fontId="0" fillId="4" borderId="16" xfId="0" applyFont="1" applyFill="1" applyBorder="1" applyAlignment="1">
      <alignment horizontal="left" vertical="top" wrapText="1"/>
    </xf>
    <xf numFmtId="0" fontId="2" fillId="4" borderId="16" xfId="0" applyFont="1" applyFill="1" applyBorder="1" applyAlignment="1">
      <alignment horizontal="left" vertical="top" wrapText="1"/>
    </xf>
    <xf numFmtId="0" fontId="2" fillId="4" borderId="17" xfId="0" applyFont="1" applyFill="1" applyBorder="1" applyAlignment="1">
      <alignment horizontal="left" vertical="top" wrapText="1"/>
    </xf>
    <xf numFmtId="0" fontId="2" fillId="4" borderId="8" xfId="0" applyFont="1" applyFill="1" applyBorder="1" applyAlignment="1">
      <alignment vertical="top" wrapText="1"/>
    </xf>
    <xf numFmtId="0" fontId="2" fillId="4" borderId="6" xfId="0" applyFont="1" applyFill="1" applyBorder="1" applyAlignment="1">
      <alignment vertical="top" wrapText="1"/>
    </xf>
    <xf numFmtId="0" fontId="7" fillId="4" borderId="6" xfId="0" applyFont="1" applyFill="1" applyBorder="1" applyAlignment="1">
      <alignment horizontal="left" vertical="top"/>
    </xf>
    <xf numFmtId="0" fontId="7" fillId="4" borderId="6" xfId="0" applyFont="1" applyFill="1" applyBorder="1" applyAlignment="1">
      <alignment horizontal="left" vertical="top" wrapText="1"/>
    </xf>
    <xf numFmtId="0" fontId="2" fillId="9" borderId="16" xfId="0" applyFont="1" applyFill="1" applyBorder="1" applyAlignment="1">
      <alignment horizontal="left" vertical="top" wrapText="1"/>
    </xf>
    <xf numFmtId="0" fontId="2" fillId="9" borderId="6" xfId="0" applyFont="1" applyFill="1" applyBorder="1" applyAlignment="1">
      <alignment horizontal="left" vertical="top" wrapText="1"/>
    </xf>
    <xf numFmtId="0" fontId="2" fillId="9" borderId="6" xfId="0" applyFont="1" applyFill="1" applyBorder="1" applyAlignment="1">
      <alignment horizontal="center" vertical="top"/>
    </xf>
    <xf numFmtId="0" fontId="7" fillId="9" borderId="6" xfId="0" applyFont="1" applyFill="1" applyBorder="1" applyAlignment="1">
      <alignment horizontal="left" vertical="top" wrapText="1"/>
    </xf>
    <xf numFmtId="0" fontId="2" fillId="10" borderId="17" xfId="0" applyFont="1" applyFill="1" applyBorder="1" applyAlignment="1">
      <alignment vertical="top" wrapText="1"/>
    </xf>
    <xf numFmtId="0" fontId="8" fillId="4" borderId="17" xfId="0" applyFont="1" applyFill="1" applyBorder="1" applyAlignment="1">
      <alignment vertical="top" wrapText="1"/>
    </xf>
    <xf numFmtId="0" fontId="2" fillId="4" borderId="18" xfId="0" applyFont="1" applyFill="1" applyBorder="1" applyAlignment="1">
      <alignment vertical="top" wrapText="1"/>
    </xf>
    <xf numFmtId="0" fontId="2" fillId="4" borderId="19" xfId="0" applyFont="1" applyFill="1" applyBorder="1" applyAlignment="1">
      <alignment vertical="top" wrapText="1"/>
    </xf>
    <xf numFmtId="0" fontId="2" fillId="4" borderId="19" xfId="0" applyFont="1" applyFill="1" applyBorder="1" applyAlignment="1">
      <alignment horizontal="center" vertical="top"/>
    </xf>
    <xf numFmtId="0" fontId="2" fillId="4" borderId="19" xfId="0" applyFont="1" applyFill="1" applyBorder="1" applyAlignment="1">
      <alignment horizontal="left" vertical="top"/>
    </xf>
    <xf numFmtId="0" fontId="2" fillId="4" borderId="20" xfId="0" applyFont="1" applyFill="1" applyBorder="1" applyAlignment="1">
      <alignment vertical="top" wrapText="1"/>
    </xf>
    <xf numFmtId="0" fontId="2" fillId="5" borderId="16" xfId="0" applyFont="1" applyFill="1" applyBorder="1" applyAlignment="1">
      <alignment vertical="top" wrapText="1"/>
    </xf>
    <xf numFmtId="0" fontId="2" fillId="5" borderId="6" xfId="0" applyFont="1" applyFill="1" applyBorder="1" applyAlignment="1">
      <alignment vertical="top" wrapText="1"/>
    </xf>
    <xf numFmtId="0" fontId="2" fillId="5" borderId="6" xfId="0" applyFont="1" applyFill="1" applyBorder="1" applyAlignment="1">
      <alignment horizontal="center" vertical="top"/>
    </xf>
    <xf numFmtId="0" fontId="2" fillId="5" borderId="6" xfId="0" applyFont="1" applyFill="1" applyBorder="1" applyAlignment="1">
      <alignment horizontal="left" vertical="top"/>
    </xf>
    <xf numFmtId="0" fontId="2" fillId="5" borderId="17" xfId="0" applyFont="1" applyFill="1" applyBorder="1" applyAlignment="1">
      <alignment vertical="top" wrapText="1"/>
    </xf>
    <xf numFmtId="0" fontId="7" fillId="5" borderId="6" xfId="0" applyFont="1" applyFill="1" applyBorder="1" applyAlignment="1">
      <alignment horizontal="left" vertical="top"/>
    </xf>
    <xf numFmtId="0" fontId="7" fillId="5" borderId="6" xfId="0" applyFont="1" applyFill="1" applyBorder="1" applyAlignment="1">
      <alignment vertical="top" wrapText="1"/>
    </xf>
    <xf numFmtId="0" fontId="9" fillId="5" borderId="17" xfId="0" applyFont="1" applyFill="1" applyBorder="1" applyAlignment="1">
      <alignment vertical="top" wrapText="1"/>
    </xf>
    <xf numFmtId="0" fontId="2" fillId="5" borderId="6" xfId="0" applyFont="1" applyFill="1" applyBorder="1" applyAlignment="1">
      <alignment vertical="top" wrapText="1"/>
    </xf>
    <xf numFmtId="0" fontId="2" fillId="5" borderId="6" xfId="0" applyFont="1" applyFill="1" applyBorder="1" applyAlignment="1">
      <alignment horizontal="left" vertical="top" wrapText="1"/>
    </xf>
    <xf numFmtId="0" fontId="2" fillId="9" borderId="16" xfId="0" applyFont="1" applyFill="1" applyBorder="1" applyAlignment="1">
      <alignment vertical="top" wrapText="1"/>
    </xf>
    <xf numFmtId="0" fontId="2" fillId="9" borderId="6" xfId="0" applyFont="1" applyFill="1" applyBorder="1" applyAlignment="1">
      <alignment vertical="top" wrapText="1"/>
    </xf>
    <xf numFmtId="0" fontId="7" fillId="9" borderId="6" xfId="0" applyFont="1" applyFill="1" applyBorder="1" applyAlignment="1">
      <alignment horizontal="left" vertical="top"/>
    </xf>
    <xf numFmtId="0" fontId="2" fillId="10" borderId="6" xfId="0" applyFont="1" applyFill="1" applyBorder="1" applyAlignment="1">
      <alignment horizontal="left" vertical="top" wrapText="1"/>
    </xf>
    <xf numFmtId="0" fontId="0" fillId="10" borderId="6" xfId="0" applyFont="1" applyFill="1" applyBorder="1" applyAlignment="1">
      <alignment vertical="top" wrapText="1"/>
    </xf>
    <xf numFmtId="0" fontId="7" fillId="5" borderId="6" xfId="0" applyFont="1" applyFill="1" applyBorder="1" applyAlignment="1">
      <alignment horizontal="left" vertical="top" wrapText="1"/>
    </xf>
    <xf numFmtId="0" fontId="7" fillId="5" borderId="17" xfId="0" applyFont="1" applyFill="1" applyBorder="1" applyAlignment="1">
      <alignment vertical="top" wrapText="1"/>
    </xf>
    <xf numFmtId="0" fontId="2" fillId="5" borderId="16" xfId="0" applyFont="1" applyFill="1" applyBorder="1" applyAlignment="1">
      <alignment vertical="top" wrapText="1"/>
    </xf>
    <xf numFmtId="0" fontId="2" fillId="5" borderId="17" xfId="0" applyFont="1" applyFill="1" applyBorder="1" applyAlignment="1">
      <alignment horizontal="left" vertical="top" wrapText="1"/>
    </xf>
    <xf numFmtId="0" fontId="2" fillId="5" borderId="18" xfId="0" applyFont="1" applyFill="1" applyBorder="1" applyAlignment="1">
      <alignment vertical="top" wrapText="1"/>
    </xf>
    <xf numFmtId="0" fontId="2" fillId="5" borderId="19" xfId="0" applyFont="1" applyFill="1" applyBorder="1" applyAlignment="1">
      <alignment vertical="top" wrapText="1"/>
    </xf>
    <xf numFmtId="0" fontId="2" fillId="5" borderId="19" xfId="0" applyFont="1" applyFill="1" applyBorder="1" applyAlignment="1">
      <alignment horizontal="center" vertical="top"/>
    </xf>
    <xf numFmtId="0" fontId="7" fillId="5" borderId="19" xfId="0" applyFont="1" applyFill="1" applyBorder="1" applyAlignment="1">
      <alignment vertical="top" wrapText="1"/>
    </xf>
    <xf numFmtId="0" fontId="9" fillId="5" borderId="20" xfId="0" applyFont="1" applyFill="1" applyBorder="1" applyAlignment="1">
      <alignment vertical="top" wrapText="1"/>
    </xf>
    <xf numFmtId="0" fontId="4" fillId="11" borderId="21" xfId="0" applyFont="1" applyFill="1" applyBorder="1" applyAlignment="1">
      <alignment vertical="top" wrapText="1"/>
    </xf>
    <xf numFmtId="0" fontId="7" fillId="11" borderId="14" xfId="0" applyFont="1" applyFill="1" applyBorder="1" applyAlignment="1">
      <alignment vertical="top" wrapText="1"/>
    </xf>
    <xf numFmtId="0" fontId="2" fillId="11" borderId="14" xfId="0" applyFont="1" applyFill="1" applyBorder="1" applyAlignment="1">
      <alignment horizontal="center" vertical="top"/>
    </xf>
    <xf numFmtId="0" fontId="8" fillId="11" borderId="15" xfId="0" applyFont="1" applyFill="1" applyBorder="1" applyAlignment="1">
      <alignment vertical="top" wrapText="1"/>
    </xf>
    <xf numFmtId="0" fontId="2" fillId="6" borderId="16" xfId="0" applyFont="1" applyFill="1" applyBorder="1" applyAlignment="1">
      <alignment vertical="top" wrapText="1"/>
    </xf>
    <xf numFmtId="0" fontId="2" fillId="6" borderId="6" xfId="0" applyFont="1" applyFill="1" applyBorder="1" applyAlignment="1">
      <alignment vertical="top" wrapText="1"/>
    </xf>
    <xf numFmtId="0" fontId="2" fillId="6" borderId="6" xfId="0" applyFont="1" applyFill="1" applyBorder="1" applyAlignment="1">
      <alignment horizontal="center" vertical="top"/>
    </xf>
    <xf numFmtId="0" fontId="2" fillId="6" borderId="6" xfId="0" applyFont="1" applyFill="1" applyBorder="1" applyAlignment="1">
      <alignment horizontal="left" vertical="top"/>
    </xf>
    <xf numFmtId="0" fontId="0" fillId="6" borderId="17" xfId="0" applyFont="1" applyFill="1" applyBorder="1" applyAlignment="1">
      <alignment vertical="top" wrapText="1"/>
    </xf>
    <xf numFmtId="0" fontId="0" fillId="6" borderId="6" xfId="0" applyFont="1" applyFill="1" applyBorder="1" applyAlignment="1">
      <alignment vertical="top" wrapText="1"/>
    </xf>
    <xf numFmtId="0" fontId="7" fillId="6" borderId="6" xfId="0" applyFont="1" applyFill="1" applyBorder="1" applyAlignment="1">
      <alignment vertical="top" wrapText="1"/>
    </xf>
    <xf numFmtId="0" fontId="7" fillId="6" borderId="6" xfId="0" applyFont="1" applyFill="1" applyBorder="1" applyAlignment="1">
      <alignment horizontal="left" vertical="top" wrapText="1"/>
    </xf>
    <xf numFmtId="0" fontId="9" fillId="6" borderId="17" xfId="0" applyFont="1" applyFill="1" applyBorder="1" applyAlignment="1">
      <alignment vertical="top" wrapText="1"/>
    </xf>
    <xf numFmtId="0" fontId="2" fillId="6" borderId="17" xfId="0" applyFont="1" applyFill="1" applyBorder="1" applyAlignment="1">
      <alignment vertical="top" wrapText="1"/>
    </xf>
    <xf numFmtId="0" fontId="7" fillId="6" borderId="17" xfId="0" applyFont="1" applyFill="1" applyBorder="1" applyAlignment="1">
      <alignment vertical="top" wrapText="1"/>
    </xf>
    <xf numFmtId="0" fontId="7" fillId="6" borderId="6" xfId="0" applyFont="1" applyFill="1" applyBorder="1" applyAlignment="1">
      <alignment horizontal="left" vertical="top"/>
    </xf>
    <xf numFmtId="0" fontId="2" fillId="6" borderId="6" xfId="0" applyFont="1" applyFill="1" applyBorder="1" applyAlignment="1">
      <alignment horizontal="left" vertical="top" wrapText="1"/>
    </xf>
    <xf numFmtId="0" fontId="2" fillId="6" borderId="17" xfId="0" applyFont="1" applyFill="1" applyBorder="1" applyAlignment="1">
      <alignment vertical="top" wrapText="1"/>
    </xf>
    <xf numFmtId="0" fontId="2" fillId="6" borderId="6" xfId="0" applyFont="1" applyFill="1" applyBorder="1" applyAlignment="1">
      <alignment vertical="top" wrapText="1"/>
    </xf>
    <xf numFmtId="0" fontId="2" fillId="9" borderId="6" xfId="0" applyFont="1" applyFill="1" applyBorder="1" applyAlignment="1">
      <alignment horizontal="center" vertical="top"/>
    </xf>
    <xf numFmtId="0" fontId="10" fillId="6" borderId="17" xfId="0" applyFont="1" applyFill="1" applyBorder="1" applyAlignment="1">
      <alignment vertical="top" wrapText="1"/>
    </xf>
    <xf numFmtId="0" fontId="2" fillId="6" borderId="6" xfId="0" applyFont="1" applyFill="1" applyBorder="1" applyAlignment="1">
      <alignment horizontal="center" vertical="top" wrapText="1"/>
    </xf>
    <xf numFmtId="0" fontId="2" fillId="6" borderId="21" xfId="0" applyFont="1" applyFill="1" applyBorder="1" applyAlignment="1">
      <alignment vertical="top"/>
    </xf>
    <xf numFmtId="0" fontId="2" fillId="6" borderId="8" xfId="0" applyFont="1" applyFill="1" applyBorder="1" applyAlignment="1">
      <alignment vertical="top"/>
    </xf>
    <xf numFmtId="0" fontId="2" fillId="6" borderId="8" xfId="0" applyFont="1" applyFill="1" applyBorder="1" applyAlignment="1">
      <alignment horizontal="center" vertical="top"/>
    </xf>
    <xf numFmtId="0" fontId="10" fillId="6" borderId="8" xfId="0" applyFont="1" applyFill="1" applyBorder="1" applyAlignment="1">
      <alignment horizontal="left" vertical="top"/>
    </xf>
    <xf numFmtId="0" fontId="10" fillId="6" borderId="8" xfId="0" applyFont="1" applyFill="1" applyBorder="1" applyAlignment="1">
      <alignment vertical="top"/>
    </xf>
    <xf numFmtId="0" fontId="10" fillId="6" borderId="22" xfId="0" applyFont="1" applyFill="1" applyBorder="1" applyAlignment="1">
      <alignment vertical="top"/>
    </xf>
    <xf numFmtId="0" fontId="2" fillId="6" borderId="16" xfId="0" applyFont="1" applyFill="1" applyBorder="1" applyAlignment="1">
      <alignment vertical="top"/>
    </xf>
    <xf numFmtId="0" fontId="2" fillId="6" borderId="6" xfId="0" applyFont="1" applyFill="1" applyBorder="1" applyAlignment="1">
      <alignment vertical="top"/>
    </xf>
    <xf numFmtId="0" fontId="0" fillId="6" borderId="17" xfId="0" applyFont="1" applyFill="1" applyBorder="1" applyAlignment="1">
      <alignment vertical="top"/>
    </xf>
    <xf numFmtId="0" fontId="2" fillId="6" borderId="18" xfId="0" applyFont="1" applyFill="1" applyBorder="1" applyAlignment="1">
      <alignment vertical="top"/>
    </xf>
    <xf numFmtId="0" fontId="2" fillId="6" borderId="19" xfId="0" applyFont="1" applyFill="1" applyBorder="1" applyAlignment="1">
      <alignment vertical="top"/>
    </xf>
    <xf numFmtId="0" fontId="2" fillId="6" borderId="19" xfId="0" applyFont="1" applyFill="1" applyBorder="1" applyAlignment="1">
      <alignment horizontal="center" vertical="top"/>
    </xf>
    <xf numFmtId="0" fontId="10" fillId="6" borderId="19" xfId="0" applyFont="1" applyFill="1" applyBorder="1" applyAlignment="1">
      <alignment horizontal="left" vertical="top"/>
    </xf>
    <xf numFmtId="0" fontId="10" fillId="6" borderId="19" xfId="0" applyFont="1" applyFill="1" applyBorder="1" applyAlignment="1">
      <alignment vertical="top"/>
    </xf>
    <xf numFmtId="0" fontId="10" fillId="6" borderId="20" xfId="0" applyFont="1" applyFill="1" applyBorder="1" applyAlignment="1">
      <alignment vertical="top"/>
    </xf>
    <xf numFmtId="0" fontId="2" fillId="7" borderId="10" xfId="0" applyFont="1" applyFill="1" applyBorder="1" applyAlignment="1">
      <alignment vertical="top" wrapText="1"/>
    </xf>
    <xf numFmtId="0" fontId="2" fillId="7" borderId="10" xfId="0" applyFont="1" applyFill="1" applyBorder="1" applyAlignment="1">
      <alignment horizontal="center" vertical="top"/>
    </xf>
    <xf numFmtId="0" fontId="2" fillId="7" borderId="10" xfId="0" applyFont="1" applyFill="1" applyBorder="1" applyAlignment="1">
      <alignment horizontal="left" vertical="top"/>
    </xf>
    <xf numFmtId="0" fontId="2" fillId="7" borderId="6" xfId="0" applyFont="1" applyFill="1" applyBorder="1" applyAlignment="1">
      <alignment vertical="top" wrapText="1"/>
    </xf>
    <xf numFmtId="0" fontId="2" fillId="7" borderId="6" xfId="0" applyFont="1" applyFill="1" applyBorder="1" applyAlignment="1">
      <alignment horizontal="center" vertical="top"/>
    </xf>
    <xf numFmtId="0" fontId="2" fillId="7" borderId="6" xfId="0" applyFont="1" applyFill="1" applyBorder="1" applyAlignment="1">
      <alignment horizontal="left" vertical="top"/>
    </xf>
    <xf numFmtId="0" fontId="2" fillId="7" borderId="19" xfId="0" applyFont="1" applyFill="1" applyBorder="1" applyAlignment="1">
      <alignment vertical="top" wrapText="1"/>
    </xf>
    <xf numFmtId="0" fontId="2" fillId="7" borderId="19" xfId="0" applyFont="1" applyFill="1" applyBorder="1" applyAlignment="1">
      <alignment horizontal="center" vertical="top"/>
    </xf>
    <xf numFmtId="0" fontId="2" fillId="7" borderId="19" xfId="0" applyFont="1" applyFill="1" applyBorder="1" applyAlignment="1">
      <alignment horizontal="left" vertical="top"/>
    </xf>
    <xf numFmtId="0" fontId="0" fillId="0" borderId="0" xfId="0" applyFont="1" applyAlignment="1">
      <alignment horizontal="center"/>
    </xf>
    <xf numFmtId="0" fontId="2" fillId="0" borderId="0" xfId="0" applyFont="1" applyAlignment="1">
      <alignment horizontal="center"/>
    </xf>
    <xf numFmtId="0" fontId="0" fillId="0" borderId="0" xfId="0" applyFont="1"/>
    <xf numFmtId="0" fontId="0" fillId="0" borderId="0" xfId="0" applyFont="1" applyAlignment="1">
      <alignment wrapText="1"/>
    </xf>
    <xf numFmtId="0" fontId="4" fillId="8" borderId="21" xfId="0" applyFont="1" applyFill="1" applyBorder="1" applyAlignment="1">
      <alignment vertical="center" wrapText="1"/>
    </xf>
    <xf numFmtId="0" fontId="4" fillId="8" borderId="22" xfId="0" applyFont="1" applyFill="1" applyBorder="1" applyAlignment="1">
      <alignment vertical="center" wrapText="1"/>
    </xf>
    <xf numFmtId="0" fontId="0" fillId="9" borderId="27" xfId="0" applyFont="1" applyFill="1" applyBorder="1" applyAlignment="1">
      <alignment horizontal="left" vertical="top" wrapText="1"/>
    </xf>
    <xf numFmtId="0" fontId="2" fillId="6" borderId="16" xfId="0" applyFont="1" applyFill="1" applyBorder="1" applyAlignment="1">
      <alignment vertical="top" wrapText="1"/>
    </xf>
    <xf numFmtId="0" fontId="2" fillId="6" borderId="11" xfId="0" applyFont="1" applyFill="1" applyBorder="1" applyAlignment="1">
      <alignment vertical="top" wrapText="1"/>
    </xf>
    <xf numFmtId="0" fontId="0" fillId="6" borderId="5" xfId="0" applyFont="1" applyFill="1" applyBorder="1" applyAlignment="1">
      <alignment horizontal="center" vertical="top"/>
    </xf>
    <xf numFmtId="0" fontId="7" fillId="9" borderId="17" xfId="0" applyFont="1" applyFill="1" applyBorder="1" applyAlignment="1">
      <alignment vertical="top" wrapText="1"/>
    </xf>
    <xf numFmtId="0" fontId="0" fillId="4" borderId="5" xfId="0" applyFont="1" applyFill="1" applyBorder="1" applyAlignment="1">
      <alignment horizontal="left" wrapText="1"/>
    </xf>
    <xf numFmtId="0" fontId="2" fillId="5" borderId="10" xfId="0" applyFont="1" applyFill="1" applyBorder="1" applyAlignment="1">
      <alignment horizontal="center" vertical="top"/>
    </xf>
    <xf numFmtId="0" fontId="2" fillId="10" borderId="16" xfId="0" applyFont="1" applyFill="1" applyBorder="1" applyAlignment="1">
      <alignment vertical="top" wrapText="1"/>
    </xf>
    <xf numFmtId="0" fontId="2" fillId="11" borderId="10" xfId="0" applyFont="1" applyFill="1" applyBorder="1" applyAlignment="1">
      <alignment horizontal="center" vertical="top"/>
    </xf>
    <xf numFmtId="0" fontId="0" fillId="2" borderId="5" xfId="0" applyFont="1" applyFill="1" applyBorder="1"/>
    <xf numFmtId="0" fontId="0" fillId="2" borderId="5" xfId="0" applyFont="1" applyFill="1" applyBorder="1" applyAlignment="1">
      <alignment wrapText="1"/>
    </xf>
    <xf numFmtId="0" fontId="0" fillId="2" borderId="5" xfId="0" applyFont="1" applyFill="1" applyBorder="1" applyAlignment="1">
      <alignment horizontal="center"/>
    </xf>
    <xf numFmtId="0" fontId="13" fillId="15" borderId="16" xfId="0" applyFont="1" applyFill="1" applyBorder="1" applyAlignment="1">
      <alignment horizontal="left" vertical="top" wrapText="1"/>
    </xf>
    <xf numFmtId="0" fontId="13" fillId="15" borderId="17" xfId="0" applyFont="1" applyFill="1" applyBorder="1" applyAlignment="1">
      <alignment horizontal="center" vertical="top" wrapText="1"/>
    </xf>
    <xf numFmtId="0" fontId="14" fillId="0" borderId="16" xfId="0" applyFont="1" applyBorder="1" applyAlignment="1">
      <alignment vertical="top" wrapText="1"/>
    </xf>
    <xf numFmtId="0" fontId="0" fillId="0" borderId="17" xfId="0" applyFont="1" applyBorder="1" applyAlignment="1">
      <alignment horizontal="center" vertical="top"/>
    </xf>
    <xf numFmtId="0" fontId="14" fillId="0" borderId="16" xfId="0" applyFont="1" applyBorder="1" applyAlignment="1">
      <alignment vertical="center" wrapText="1"/>
    </xf>
    <xf numFmtId="0" fontId="0" fillId="0" borderId="32" xfId="0" applyFont="1" applyBorder="1" applyAlignment="1">
      <alignment horizontal="center" vertical="top"/>
    </xf>
    <xf numFmtId="0" fontId="14" fillId="0" borderId="16" xfId="0" applyFont="1" applyBorder="1" applyAlignment="1">
      <alignment vertical="top"/>
    </xf>
    <xf numFmtId="0" fontId="14" fillId="0" borderId="18" xfId="0" applyFont="1" applyBorder="1" applyAlignment="1">
      <alignment vertical="top"/>
    </xf>
    <xf numFmtId="0" fontId="0" fillId="0" borderId="20" xfId="0" applyFont="1" applyBorder="1" applyAlignment="1">
      <alignment horizontal="center" vertical="top"/>
    </xf>
    <xf numFmtId="0" fontId="14" fillId="2" borderId="5" xfId="0" applyFont="1" applyFill="1" applyBorder="1" applyAlignment="1">
      <alignment horizontal="left" vertical="top" wrapText="1"/>
    </xf>
    <xf numFmtId="0" fontId="0" fillId="2" borderId="5" xfId="0" applyFont="1" applyFill="1" applyBorder="1" applyAlignment="1">
      <alignment horizontal="center" vertical="top"/>
    </xf>
    <xf numFmtId="0" fontId="0" fillId="2" borderId="5" xfId="0" applyFont="1" applyFill="1" applyBorder="1" applyAlignment="1">
      <alignment vertical="top" wrapText="1"/>
    </xf>
    <xf numFmtId="0" fontId="15" fillId="0" borderId="16" xfId="0" applyFont="1" applyBorder="1" applyAlignment="1">
      <alignment vertical="top"/>
    </xf>
    <xf numFmtId="0" fontId="15" fillId="0" borderId="18" xfId="0" applyFont="1" applyBorder="1" applyAlignment="1">
      <alignment vertical="top"/>
    </xf>
    <xf numFmtId="0" fontId="0" fillId="2" borderId="35" xfId="0" applyFont="1" applyFill="1" applyBorder="1" applyAlignment="1">
      <alignment vertical="top" wrapText="1"/>
    </xf>
    <xf numFmtId="0" fontId="0" fillId="2" borderId="35" xfId="0" applyFont="1" applyFill="1" applyBorder="1" applyAlignment="1">
      <alignment horizontal="center" vertical="top"/>
    </xf>
    <xf numFmtId="0" fontId="0" fillId="2" borderId="9" xfId="0" applyFont="1" applyFill="1" applyBorder="1"/>
    <xf numFmtId="0" fontId="15" fillId="3" borderId="16" xfId="0" applyFont="1" applyFill="1" applyBorder="1" applyAlignment="1">
      <alignment wrapText="1"/>
    </xf>
    <xf numFmtId="0" fontId="2" fillId="3" borderId="17" xfId="0" applyFont="1" applyFill="1" applyBorder="1" applyAlignment="1">
      <alignment horizontal="center"/>
    </xf>
    <xf numFmtId="0" fontId="0" fillId="2" borderId="36" xfId="0" applyFont="1" applyFill="1" applyBorder="1"/>
    <xf numFmtId="0" fontId="17" fillId="16" borderId="37" xfId="0" applyFont="1" applyFill="1" applyBorder="1" applyAlignment="1">
      <alignment horizontal="center" vertical="center" wrapText="1"/>
    </xf>
    <xf numFmtId="0" fontId="17" fillId="16" borderId="38" xfId="0" applyFont="1" applyFill="1" applyBorder="1" applyAlignment="1">
      <alignment horizontal="center" vertical="center" wrapText="1"/>
    </xf>
    <xf numFmtId="0" fontId="17" fillId="16" borderId="39" xfId="0" applyFont="1" applyFill="1" applyBorder="1" applyAlignment="1">
      <alignment horizontal="center" vertical="center" wrapText="1"/>
    </xf>
    <xf numFmtId="0" fontId="17" fillId="0" borderId="23"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40" xfId="0" applyFont="1" applyBorder="1" applyAlignment="1">
      <alignment horizontal="center" vertical="center" wrapText="1"/>
    </xf>
    <xf numFmtId="0" fontId="17" fillId="0" borderId="16"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17" xfId="0" applyFont="1" applyBorder="1" applyAlignment="1">
      <alignment horizontal="center" vertical="center" wrapText="1"/>
    </xf>
    <xf numFmtId="0" fontId="17" fillId="0" borderId="18" xfId="0" applyFont="1" applyBorder="1" applyAlignment="1">
      <alignment horizontal="center" vertical="center" wrapText="1"/>
    </xf>
    <xf numFmtId="0" fontId="17" fillId="0" borderId="19" xfId="0" applyFont="1" applyBorder="1" applyAlignment="1">
      <alignment horizontal="center" vertical="center" wrapText="1"/>
    </xf>
    <xf numFmtId="0" fontId="17" fillId="0" borderId="20" xfId="0" applyFont="1" applyBorder="1" applyAlignment="1">
      <alignment horizontal="center" vertical="center" wrapText="1"/>
    </xf>
    <xf numFmtId="0" fontId="6" fillId="5" borderId="24" xfId="0" applyFont="1" applyFill="1" applyBorder="1" applyAlignment="1">
      <alignment horizontal="center" vertical="center" wrapText="1"/>
    </xf>
    <xf numFmtId="0" fontId="3" fillId="0" borderId="25" xfId="0" applyFont="1" applyBorder="1"/>
    <xf numFmtId="0" fontId="3" fillId="0" borderId="26" xfId="0" applyFont="1" applyBorder="1"/>
    <xf numFmtId="0" fontId="1" fillId="12" borderId="24" xfId="0" applyFont="1" applyFill="1" applyBorder="1" applyAlignment="1">
      <alignment horizontal="center"/>
    </xf>
    <xf numFmtId="0" fontId="11" fillId="13" borderId="28" xfId="0" applyFont="1" applyFill="1" applyBorder="1" applyAlignment="1">
      <alignment horizontal="center"/>
    </xf>
    <xf numFmtId="0" fontId="3" fillId="0" borderId="29" xfId="0" applyFont="1" applyBorder="1"/>
    <xf numFmtId="0" fontId="11" fillId="14" borderId="1" xfId="0" applyFont="1" applyFill="1" applyBorder="1" applyAlignment="1">
      <alignment horizontal="center" vertical="top"/>
    </xf>
    <xf numFmtId="0" fontId="3" fillId="0" borderId="3" xfId="0" applyFont="1" applyBorder="1"/>
    <xf numFmtId="0" fontId="12" fillId="15" borderId="30" xfId="0" applyFont="1" applyFill="1" applyBorder="1" applyAlignment="1">
      <alignment horizontal="center" vertical="top"/>
    </xf>
    <xf numFmtId="0" fontId="3" fillId="0" borderId="31" xfId="0" applyFont="1" applyBorder="1"/>
    <xf numFmtId="0" fontId="12" fillId="15" borderId="28" xfId="0" applyFont="1" applyFill="1" applyBorder="1" applyAlignment="1">
      <alignment horizontal="center" vertical="top"/>
    </xf>
    <xf numFmtId="0" fontId="12" fillId="15" borderId="24" xfId="0" applyFont="1" applyFill="1" applyBorder="1" applyAlignment="1">
      <alignment horizontal="center" vertical="top"/>
    </xf>
    <xf numFmtId="0" fontId="12" fillId="15" borderId="33" xfId="0" applyFont="1" applyFill="1" applyBorder="1" applyAlignment="1">
      <alignment horizontal="center" vertical="top"/>
    </xf>
    <xf numFmtId="0" fontId="3" fillId="0" borderId="34" xfId="0" applyFont="1" applyBorder="1"/>
    <xf numFmtId="0" fontId="16" fillId="7" borderId="1" xfId="0" applyFont="1" applyFill="1" applyBorder="1" applyAlignment="1">
      <alignment horizontal="center"/>
    </xf>
    <xf numFmtId="0" fontId="3" fillId="0" borderId="2" xfId="0" applyFont="1" applyBorder="1"/>
    <xf numFmtId="0" fontId="2" fillId="17" borderId="16" xfId="0" applyFont="1" applyFill="1" applyBorder="1" applyAlignment="1">
      <alignment horizontal="left" vertical="top" wrapText="1"/>
    </xf>
    <xf numFmtId="0" fontId="2" fillId="17" borderId="6" xfId="0" applyFont="1" applyFill="1" applyBorder="1" applyAlignment="1">
      <alignment horizontal="left" vertical="top" wrapText="1"/>
    </xf>
    <xf numFmtId="0" fontId="2" fillId="17" borderId="6" xfId="0" applyFont="1" applyFill="1" applyBorder="1" applyAlignment="1">
      <alignment vertical="top" wrapText="1"/>
    </xf>
    <xf numFmtId="0" fontId="2" fillId="18" borderId="6" xfId="0" applyFont="1" applyFill="1" applyBorder="1" applyAlignment="1">
      <alignment vertical="top" wrapText="1"/>
    </xf>
    <xf numFmtId="0" fontId="0" fillId="19" borderId="4" xfId="0" applyFont="1" applyFill="1" applyBorder="1" applyAlignment="1">
      <alignment vertical="top" wrapText="1"/>
    </xf>
    <xf numFmtId="0" fontId="2" fillId="20" borderId="16" xfId="0" applyFont="1" applyFill="1" applyBorder="1" applyAlignment="1">
      <alignment vertical="top" wrapText="1"/>
    </xf>
    <xf numFmtId="0" fontId="2" fillId="20" borderId="6" xfId="0" applyFont="1" applyFill="1" applyBorder="1" applyAlignment="1">
      <alignment vertical="top" wrapText="1"/>
    </xf>
    <xf numFmtId="0" fontId="2" fillId="20" borderId="6" xfId="0" applyFont="1" applyFill="1" applyBorder="1" applyAlignment="1">
      <alignment horizontal="center" vertical="top"/>
    </xf>
  </cellXfs>
  <cellStyles count="1">
    <cellStyle name="Normal" xfId="0" builtinId="0"/>
  </cellStyles>
  <dxfs count="0"/>
  <tableStyles count="0" defaultTableStyle="TableStyleMedium2" defaultPivotStyle="PivotStyleLight16"/>
  <colors>
    <mruColors>
      <color rgb="FF53FC1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styles" Target="styles.xml"/><Relationship Id="rId3" Type="http://schemas.openxmlformats.org/officeDocument/2006/relationships/worksheet" Target="worksheets/sheet3.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1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G321"/>
  <sheetViews>
    <sheetView tabSelected="1" workbookViewId="0">
      <selection activeCell="D260" sqref="D260"/>
    </sheetView>
  </sheetViews>
  <sheetFormatPr defaultColWidth="14.44140625" defaultRowHeight="14.4"/>
  <cols>
    <col min="1" max="1" width="45" customWidth="1"/>
    <col min="2" max="2" width="19.33203125" customWidth="1"/>
    <col min="3" max="3" width="10.33203125" customWidth="1"/>
    <col min="4" max="4" width="7" customWidth="1"/>
    <col min="5" max="5" width="12.33203125" customWidth="1"/>
    <col min="6" max="6" width="16.88671875" customWidth="1"/>
    <col min="7" max="7" width="33.5546875" customWidth="1"/>
  </cols>
  <sheetData>
    <row r="1" spans="1:7">
      <c r="A1" s="158" t="s">
        <v>605</v>
      </c>
      <c r="B1" s="159"/>
      <c r="C1" s="159"/>
      <c r="D1" s="159"/>
      <c r="E1" s="159"/>
      <c r="F1" s="159"/>
      <c r="G1" s="160"/>
    </row>
    <row r="2" spans="1:7" ht="50.4">
      <c r="A2" s="112" t="s">
        <v>152</v>
      </c>
      <c r="B2" s="1" t="s">
        <v>606</v>
      </c>
      <c r="C2" s="1" t="s">
        <v>607</v>
      </c>
      <c r="D2" s="1" t="s">
        <v>153</v>
      </c>
      <c r="E2" s="1" t="s">
        <v>154</v>
      </c>
      <c r="F2" s="1" t="s">
        <v>155</v>
      </c>
      <c r="G2" s="113" t="s">
        <v>156</v>
      </c>
    </row>
    <row r="3" spans="1:7" ht="86.4">
      <c r="A3" s="2" t="s">
        <v>157</v>
      </c>
      <c r="B3" s="3" t="s">
        <v>158</v>
      </c>
      <c r="C3" s="4">
        <v>1</v>
      </c>
      <c r="D3" s="4">
        <v>10</v>
      </c>
      <c r="E3" s="5" t="s">
        <v>159</v>
      </c>
      <c r="F3" s="6" t="s">
        <v>160</v>
      </c>
      <c r="G3" s="7"/>
    </row>
    <row r="4" spans="1:7" ht="72">
      <c r="A4" s="8" t="s">
        <v>161</v>
      </c>
      <c r="B4" s="9" t="s">
        <v>162</v>
      </c>
      <c r="C4" s="10">
        <f t="shared" ref="C4:C144" si="0">C3 + 1</f>
        <v>2</v>
      </c>
      <c r="D4" s="10">
        <v>20</v>
      </c>
      <c r="E4" s="11" t="s">
        <v>159</v>
      </c>
      <c r="F4" s="9" t="s">
        <v>163</v>
      </c>
      <c r="G4" s="12" t="s">
        <v>164</v>
      </c>
    </row>
    <row r="5" spans="1:7">
      <c r="A5" s="8" t="s">
        <v>165</v>
      </c>
      <c r="B5" s="9" t="s">
        <v>165</v>
      </c>
      <c r="C5" s="10">
        <f t="shared" si="0"/>
        <v>3</v>
      </c>
      <c r="D5" s="10">
        <v>10</v>
      </c>
      <c r="E5" s="11"/>
      <c r="F5" s="9"/>
      <c r="G5" s="12"/>
    </row>
    <row r="6" spans="1:7">
      <c r="A6" s="8" t="s">
        <v>166</v>
      </c>
      <c r="B6" s="9" t="s">
        <v>167</v>
      </c>
      <c r="C6" s="10">
        <f t="shared" si="0"/>
        <v>4</v>
      </c>
      <c r="D6" s="10">
        <v>3</v>
      </c>
      <c r="E6" s="11" t="s">
        <v>159</v>
      </c>
      <c r="F6" s="9" t="s">
        <v>168</v>
      </c>
      <c r="G6" s="12"/>
    </row>
    <row r="7" spans="1:7">
      <c r="A7" s="8" t="s">
        <v>169</v>
      </c>
      <c r="B7" s="9" t="s">
        <v>170</v>
      </c>
      <c r="C7" s="10">
        <f t="shared" si="0"/>
        <v>5</v>
      </c>
      <c r="D7" s="10">
        <v>4</v>
      </c>
      <c r="E7" s="11" t="s">
        <v>159</v>
      </c>
      <c r="F7" s="9" t="s">
        <v>171</v>
      </c>
      <c r="G7" s="12"/>
    </row>
    <row r="8" spans="1:7" ht="28.8">
      <c r="A8" s="8" t="s">
        <v>172</v>
      </c>
      <c r="B8" s="9" t="s">
        <v>173</v>
      </c>
      <c r="C8" s="10">
        <f t="shared" si="0"/>
        <v>6</v>
      </c>
      <c r="D8" s="10">
        <v>35</v>
      </c>
      <c r="E8" s="11" t="s">
        <v>159</v>
      </c>
      <c r="F8" s="9" t="s">
        <v>174</v>
      </c>
      <c r="G8" s="13"/>
    </row>
    <row r="9" spans="1:7" ht="28.8">
      <c r="A9" s="8" t="s">
        <v>175</v>
      </c>
      <c r="B9" s="9" t="s">
        <v>176</v>
      </c>
      <c r="C9" s="10">
        <f t="shared" si="0"/>
        <v>7</v>
      </c>
      <c r="D9" s="10">
        <v>35</v>
      </c>
      <c r="E9" s="11" t="s">
        <v>159</v>
      </c>
      <c r="F9" s="9" t="s">
        <v>174</v>
      </c>
      <c r="G9" s="12"/>
    </row>
    <row r="10" spans="1:7" ht="72">
      <c r="A10" s="8" t="s">
        <v>177</v>
      </c>
      <c r="B10" s="9" t="s">
        <v>178</v>
      </c>
      <c r="C10" s="10">
        <f t="shared" si="0"/>
        <v>8</v>
      </c>
      <c r="D10" s="10">
        <v>24</v>
      </c>
      <c r="E10" s="11" t="s">
        <v>159</v>
      </c>
      <c r="F10" s="9" t="s">
        <v>179</v>
      </c>
      <c r="G10" s="12" t="s">
        <v>608</v>
      </c>
    </row>
    <row r="11" spans="1:7" ht="86.4">
      <c r="A11" s="8" t="s">
        <v>180</v>
      </c>
      <c r="B11" s="9" t="s">
        <v>181</v>
      </c>
      <c r="C11" s="10">
        <f t="shared" si="0"/>
        <v>9</v>
      </c>
      <c r="D11" s="10">
        <v>12</v>
      </c>
      <c r="E11" s="11" t="s">
        <v>159</v>
      </c>
      <c r="F11" s="9" t="s">
        <v>609</v>
      </c>
      <c r="G11" s="12"/>
    </row>
    <row r="12" spans="1:7" ht="100.8">
      <c r="A12" s="8" t="s">
        <v>182</v>
      </c>
      <c r="B12" s="9" t="s">
        <v>183</v>
      </c>
      <c r="C12" s="10">
        <f t="shared" si="0"/>
        <v>10</v>
      </c>
      <c r="D12" s="10">
        <v>12</v>
      </c>
      <c r="E12" s="11" t="s">
        <v>159</v>
      </c>
      <c r="F12" s="14" t="s">
        <v>610</v>
      </c>
      <c r="G12" s="12"/>
    </row>
    <row r="13" spans="1:7" ht="28.8">
      <c r="A13" s="8" t="s">
        <v>184</v>
      </c>
      <c r="B13" s="9" t="s">
        <v>185</v>
      </c>
      <c r="C13" s="10">
        <f t="shared" si="0"/>
        <v>11</v>
      </c>
      <c r="D13" s="10">
        <v>1</v>
      </c>
      <c r="E13" s="11" t="s">
        <v>159</v>
      </c>
      <c r="F13" s="9" t="s">
        <v>186</v>
      </c>
      <c r="G13" s="12"/>
    </row>
    <row r="14" spans="1:7">
      <c r="A14" s="8" t="s">
        <v>165</v>
      </c>
      <c r="B14" s="9" t="s">
        <v>165</v>
      </c>
      <c r="C14" s="10">
        <f t="shared" si="0"/>
        <v>12</v>
      </c>
      <c r="D14" s="10">
        <v>2</v>
      </c>
      <c r="E14" s="11"/>
      <c r="F14" s="15"/>
      <c r="G14" s="12"/>
    </row>
    <row r="15" spans="1:7">
      <c r="A15" s="8" t="s">
        <v>187</v>
      </c>
      <c r="B15" s="9" t="s">
        <v>188</v>
      </c>
      <c r="C15" s="10">
        <f t="shared" si="0"/>
        <v>13</v>
      </c>
      <c r="D15" s="10">
        <v>2</v>
      </c>
      <c r="E15" s="11" t="s">
        <v>159</v>
      </c>
      <c r="F15" s="9" t="s">
        <v>189</v>
      </c>
      <c r="G15" s="12"/>
    </row>
    <row r="16" spans="1:7" ht="28.8">
      <c r="A16" s="8" t="s">
        <v>190</v>
      </c>
      <c r="B16" s="9" t="s">
        <v>191</v>
      </c>
      <c r="C16" s="10">
        <f t="shared" si="0"/>
        <v>14</v>
      </c>
      <c r="D16" s="10">
        <v>2</v>
      </c>
      <c r="E16" s="11" t="s">
        <v>159</v>
      </c>
      <c r="F16" s="16" t="s">
        <v>192</v>
      </c>
      <c r="G16" s="12"/>
    </row>
    <row r="17" spans="1:7" ht="28.8">
      <c r="A17" s="8" t="s">
        <v>193</v>
      </c>
      <c r="B17" s="9" t="s">
        <v>194</v>
      </c>
      <c r="C17" s="10">
        <f t="shared" si="0"/>
        <v>15</v>
      </c>
      <c r="D17" s="10">
        <v>2</v>
      </c>
      <c r="E17" s="11" t="s">
        <v>159</v>
      </c>
      <c r="F17" s="17" t="s">
        <v>195</v>
      </c>
      <c r="G17" s="12"/>
    </row>
    <row r="18" spans="1:7" ht="57.6">
      <c r="A18" s="8" t="s">
        <v>196</v>
      </c>
      <c r="B18" s="9" t="s">
        <v>197</v>
      </c>
      <c r="C18" s="10">
        <f t="shared" si="0"/>
        <v>16</v>
      </c>
      <c r="D18" s="10">
        <v>4</v>
      </c>
      <c r="E18" s="11" t="s">
        <v>159</v>
      </c>
      <c r="F18" s="9" t="s">
        <v>198</v>
      </c>
      <c r="G18" s="12"/>
    </row>
    <row r="19" spans="1:7" ht="57.6">
      <c r="A19" s="8" t="s">
        <v>199</v>
      </c>
      <c r="B19" s="9" t="s">
        <v>200</v>
      </c>
      <c r="C19" s="10">
        <f t="shared" si="0"/>
        <v>17</v>
      </c>
      <c r="D19" s="10">
        <v>1</v>
      </c>
      <c r="E19" s="11" t="s">
        <v>159</v>
      </c>
      <c r="F19" s="9" t="s">
        <v>201</v>
      </c>
      <c r="G19" s="12"/>
    </row>
    <row r="20" spans="1:7" ht="187.2">
      <c r="A20" s="8" t="s">
        <v>202</v>
      </c>
      <c r="B20" s="9" t="s">
        <v>203</v>
      </c>
      <c r="C20" s="10">
        <f t="shared" si="0"/>
        <v>18</v>
      </c>
      <c r="D20" s="10">
        <v>1</v>
      </c>
      <c r="E20" s="11" t="s">
        <v>204</v>
      </c>
      <c r="F20" s="9" t="s">
        <v>205</v>
      </c>
      <c r="G20" s="114" t="s">
        <v>611</v>
      </c>
    </row>
    <row r="21" spans="1:7" ht="43.2">
      <c r="A21" s="8" t="s">
        <v>206</v>
      </c>
      <c r="B21" s="9" t="s">
        <v>207</v>
      </c>
      <c r="C21" s="10">
        <f t="shared" si="0"/>
        <v>19</v>
      </c>
      <c r="D21" s="10">
        <v>1</v>
      </c>
      <c r="E21" s="18" t="s">
        <v>204</v>
      </c>
      <c r="F21" s="18" t="s">
        <v>208</v>
      </c>
      <c r="G21" s="19"/>
    </row>
    <row r="22" spans="1:7" ht="43.2">
      <c r="A22" s="8" t="s">
        <v>209</v>
      </c>
      <c r="B22" s="9" t="s">
        <v>210</v>
      </c>
      <c r="C22" s="10">
        <f t="shared" si="0"/>
        <v>20</v>
      </c>
      <c r="D22" s="10">
        <v>1</v>
      </c>
      <c r="E22" s="11" t="s">
        <v>204</v>
      </c>
      <c r="F22" s="18" t="s">
        <v>208</v>
      </c>
      <c r="G22" s="19"/>
    </row>
    <row r="23" spans="1:7" ht="43.2">
      <c r="A23" s="8" t="s">
        <v>211</v>
      </c>
      <c r="B23" s="9" t="s">
        <v>212</v>
      </c>
      <c r="C23" s="10">
        <f t="shared" si="0"/>
        <v>21</v>
      </c>
      <c r="D23" s="10">
        <v>1</v>
      </c>
      <c r="E23" s="11" t="s">
        <v>204</v>
      </c>
      <c r="F23" s="18" t="s">
        <v>208</v>
      </c>
      <c r="G23" s="19"/>
    </row>
    <row r="24" spans="1:7" ht="43.2">
      <c r="A24" s="8" t="s">
        <v>213</v>
      </c>
      <c r="B24" s="9" t="s">
        <v>214</v>
      </c>
      <c r="C24" s="10">
        <f t="shared" si="0"/>
        <v>22</v>
      </c>
      <c r="D24" s="10">
        <v>1</v>
      </c>
      <c r="E24" s="11" t="s">
        <v>204</v>
      </c>
      <c r="F24" s="18" t="s">
        <v>208</v>
      </c>
      <c r="G24" s="19"/>
    </row>
    <row r="25" spans="1:7" ht="43.2">
      <c r="A25" s="8" t="s">
        <v>215</v>
      </c>
      <c r="B25" s="9" t="s">
        <v>216</v>
      </c>
      <c r="C25" s="10">
        <f t="shared" si="0"/>
        <v>23</v>
      </c>
      <c r="D25" s="10">
        <v>1</v>
      </c>
      <c r="E25" s="11" t="s">
        <v>204</v>
      </c>
      <c r="F25" s="18" t="s">
        <v>208</v>
      </c>
      <c r="G25" s="19"/>
    </row>
    <row r="26" spans="1:7" ht="43.2">
      <c r="A26" s="8" t="s">
        <v>217</v>
      </c>
      <c r="B26" s="9" t="s">
        <v>218</v>
      </c>
      <c r="C26" s="10">
        <f t="shared" si="0"/>
        <v>24</v>
      </c>
      <c r="D26" s="10">
        <v>1</v>
      </c>
      <c r="E26" s="11" t="s">
        <v>204</v>
      </c>
      <c r="F26" s="18" t="s">
        <v>208</v>
      </c>
      <c r="G26" s="19"/>
    </row>
    <row r="27" spans="1:7" ht="43.2">
      <c r="A27" s="8" t="s">
        <v>219</v>
      </c>
      <c r="B27" s="9" t="s">
        <v>220</v>
      </c>
      <c r="C27" s="10">
        <f t="shared" si="0"/>
        <v>25</v>
      </c>
      <c r="D27" s="10">
        <v>1</v>
      </c>
      <c r="E27" s="11" t="s">
        <v>204</v>
      </c>
      <c r="F27" s="18" t="s">
        <v>208</v>
      </c>
      <c r="G27" s="19"/>
    </row>
    <row r="28" spans="1:7" ht="43.2">
      <c r="A28" s="8" t="s">
        <v>221</v>
      </c>
      <c r="B28" s="9" t="s">
        <v>222</v>
      </c>
      <c r="C28" s="10">
        <f t="shared" si="0"/>
        <v>26</v>
      </c>
      <c r="D28" s="10">
        <v>1</v>
      </c>
      <c r="E28" s="11" t="s">
        <v>204</v>
      </c>
      <c r="F28" s="18" t="s">
        <v>208</v>
      </c>
      <c r="G28" s="19"/>
    </row>
    <row r="29" spans="1:7" ht="43.2">
      <c r="A29" s="8" t="s">
        <v>223</v>
      </c>
      <c r="B29" s="9" t="s">
        <v>224</v>
      </c>
      <c r="C29" s="10">
        <f t="shared" si="0"/>
        <v>27</v>
      </c>
      <c r="D29" s="10">
        <v>1</v>
      </c>
      <c r="E29" s="11" t="s">
        <v>204</v>
      </c>
      <c r="F29" s="18" t="s">
        <v>208</v>
      </c>
      <c r="G29" s="19"/>
    </row>
    <row r="30" spans="1:7" ht="43.2">
      <c r="A30" s="8" t="s">
        <v>225</v>
      </c>
      <c r="B30" s="9" t="s">
        <v>226</v>
      </c>
      <c r="C30" s="10">
        <f t="shared" si="0"/>
        <v>28</v>
      </c>
      <c r="D30" s="10">
        <v>1</v>
      </c>
      <c r="E30" s="11" t="s">
        <v>204</v>
      </c>
      <c r="F30" s="18" t="s">
        <v>208</v>
      </c>
      <c r="G30" s="19"/>
    </row>
    <row r="31" spans="1:7" ht="43.2">
      <c r="A31" s="8" t="s">
        <v>227</v>
      </c>
      <c r="B31" s="9" t="s">
        <v>228</v>
      </c>
      <c r="C31" s="10">
        <f t="shared" si="0"/>
        <v>29</v>
      </c>
      <c r="D31" s="10">
        <v>1</v>
      </c>
      <c r="E31" s="11" t="s">
        <v>204</v>
      </c>
      <c r="F31" s="18" t="s">
        <v>208</v>
      </c>
      <c r="G31" s="19"/>
    </row>
    <row r="32" spans="1:7" ht="43.2">
      <c r="A32" s="8" t="s">
        <v>229</v>
      </c>
      <c r="B32" s="9" t="s">
        <v>230</v>
      </c>
      <c r="C32" s="10">
        <f t="shared" si="0"/>
        <v>30</v>
      </c>
      <c r="D32" s="10">
        <v>1</v>
      </c>
      <c r="E32" s="11" t="s">
        <v>204</v>
      </c>
      <c r="F32" s="18" t="s">
        <v>208</v>
      </c>
      <c r="G32" s="19"/>
    </row>
    <row r="33" spans="1:7" ht="43.2">
      <c r="A33" s="8" t="s">
        <v>231</v>
      </c>
      <c r="B33" s="9" t="s">
        <v>232</v>
      </c>
      <c r="C33" s="10">
        <f t="shared" si="0"/>
        <v>31</v>
      </c>
      <c r="D33" s="10">
        <v>1</v>
      </c>
      <c r="E33" s="11" t="s">
        <v>204</v>
      </c>
      <c r="F33" s="18" t="s">
        <v>208</v>
      </c>
      <c r="G33" s="19"/>
    </row>
    <row r="34" spans="1:7" ht="43.2">
      <c r="A34" s="8" t="s">
        <v>233</v>
      </c>
      <c r="B34" s="9" t="s">
        <v>234</v>
      </c>
      <c r="C34" s="10">
        <f t="shared" si="0"/>
        <v>32</v>
      </c>
      <c r="D34" s="10">
        <v>1</v>
      </c>
      <c r="E34" s="11" t="s">
        <v>204</v>
      </c>
      <c r="F34" s="18" t="s">
        <v>208</v>
      </c>
      <c r="G34" s="19"/>
    </row>
    <row r="35" spans="1:7" ht="43.2">
      <c r="A35" s="8" t="s">
        <v>235</v>
      </c>
      <c r="B35" s="9" t="s">
        <v>236</v>
      </c>
      <c r="C35" s="10">
        <f t="shared" si="0"/>
        <v>33</v>
      </c>
      <c r="D35" s="10">
        <v>1</v>
      </c>
      <c r="E35" s="11" t="s">
        <v>204</v>
      </c>
      <c r="F35" s="18" t="s">
        <v>208</v>
      </c>
      <c r="G35" s="19"/>
    </row>
    <row r="36" spans="1:7">
      <c r="A36" s="8" t="s">
        <v>165</v>
      </c>
      <c r="B36" s="9" t="s">
        <v>165</v>
      </c>
      <c r="C36" s="10">
        <f t="shared" si="0"/>
        <v>34</v>
      </c>
      <c r="D36" s="10">
        <v>1</v>
      </c>
      <c r="E36" s="11"/>
      <c r="F36" s="18"/>
      <c r="G36" s="19"/>
    </row>
    <row r="37" spans="1:7">
      <c r="A37" s="8" t="s">
        <v>165</v>
      </c>
      <c r="B37" s="9" t="s">
        <v>165</v>
      </c>
      <c r="C37" s="10">
        <f t="shared" si="0"/>
        <v>35</v>
      </c>
      <c r="D37" s="10">
        <v>1</v>
      </c>
      <c r="E37" s="11"/>
      <c r="F37" s="18"/>
      <c r="G37" s="19"/>
    </row>
    <row r="38" spans="1:7" ht="43.2">
      <c r="A38" s="8" t="s">
        <v>237</v>
      </c>
      <c r="B38" s="9" t="s">
        <v>238</v>
      </c>
      <c r="C38" s="10">
        <f t="shared" si="0"/>
        <v>36</v>
      </c>
      <c r="D38" s="10">
        <v>1</v>
      </c>
      <c r="E38" s="11" t="s">
        <v>204</v>
      </c>
      <c r="F38" s="18" t="s">
        <v>208</v>
      </c>
      <c r="G38" s="19"/>
    </row>
    <row r="39" spans="1:7" ht="43.2">
      <c r="A39" s="8" t="s">
        <v>239</v>
      </c>
      <c r="B39" s="9" t="s">
        <v>240</v>
      </c>
      <c r="C39" s="10">
        <f t="shared" si="0"/>
        <v>37</v>
      </c>
      <c r="D39" s="10">
        <v>1</v>
      </c>
      <c r="E39" s="11" t="s">
        <v>204</v>
      </c>
      <c r="F39" s="18" t="s">
        <v>208</v>
      </c>
      <c r="G39" s="19"/>
    </row>
    <row r="40" spans="1:7">
      <c r="A40" s="20" t="s">
        <v>165</v>
      </c>
      <c r="B40" s="18" t="s">
        <v>165</v>
      </c>
      <c r="C40" s="10">
        <f t="shared" si="0"/>
        <v>38</v>
      </c>
      <c r="D40" s="10">
        <v>2</v>
      </c>
      <c r="E40" s="18"/>
      <c r="F40" s="18"/>
      <c r="G40" s="19"/>
    </row>
    <row r="41" spans="1:7">
      <c r="A41" s="20" t="s">
        <v>165</v>
      </c>
      <c r="B41" s="18" t="s">
        <v>165</v>
      </c>
      <c r="C41" s="10">
        <f t="shared" si="0"/>
        <v>39</v>
      </c>
      <c r="D41" s="10">
        <v>1</v>
      </c>
      <c r="E41" s="18"/>
      <c r="F41" s="18"/>
      <c r="G41" s="19"/>
    </row>
    <row r="42" spans="1:7" ht="43.2">
      <c r="A42" s="21" t="s">
        <v>241</v>
      </c>
      <c r="B42" s="9" t="s">
        <v>242</v>
      </c>
      <c r="C42" s="10">
        <f t="shared" si="0"/>
        <v>40</v>
      </c>
      <c r="D42" s="10">
        <v>1</v>
      </c>
      <c r="E42" s="18" t="s">
        <v>204</v>
      </c>
      <c r="F42" s="18" t="s">
        <v>243</v>
      </c>
      <c r="G42" s="12" t="s">
        <v>244</v>
      </c>
    </row>
    <row r="43" spans="1:7" ht="43.2">
      <c r="A43" s="21" t="s">
        <v>245</v>
      </c>
      <c r="B43" s="9" t="s">
        <v>246</v>
      </c>
      <c r="C43" s="10">
        <f t="shared" si="0"/>
        <v>41</v>
      </c>
      <c r="D43" s="10">
        <v>1</v>
      </c>
      <c r="E43" s="18" t="s">
        <v>204</v>
      </c>
      <c r="F43" s="18" t="s">
        <v>243</v>
      </c>
      <c r="G43" s="12" t="s">
        <v>247</v>
      </c>
    </row>
    <row r="44" spans="1:7" ht="57.6">
      <c r="A44" s="21" t="s">
        <v>248</v>
      </c>
      <c r="B44" s="18" t="s">
        <v>249</v>
      </c>
      <c r="C44" s="10">
        <f t="shared" si="0"/>
        <v>42</v>
      </c>
      <c r="D44" s="10">
        <v>1</v>
      </c>
      <c r="E44" s="11" t="s">
        <v>204</v>
      </c>
      <c r="F44" s="18" t="s">
        <v>250</v>
      </c>
      <c r="G44" s="22"/>
    </row>
    <row r="45" spans="1:7" ht="57.6">
      <c r="A45" s="21" t="s">
        <v>251</v>
      </c>
      <c r="B45" s="18" t="s">
        <v>252</v>
      </c>
      <c r="C45" s="10">
        <f t="shared" si="0"/>
        <v>43</v>
      </c>
      <c r="D45" s="10">
        <v>1</v>
      </c>
      <c r="E45" s="11" t="s">
        <v>204</v>
      </c>
      <c r="F45" s="18" t="s">
        <v>253</v>
      </c>
      <c r="G45" s="22"/>
    </row>
    <row r="46" spans="1:7" ht="28.8">
      <c r="A46" s="21" t="s">
        <v>254</v>
      </c>
      <c r="B46" s="18" t="s">
        <v>255</v>
      </c>
      <c r="C46" s="10">
        <f t="shared" si="0"/>
        <v>44</v>
      </c>
      <c r="D46" s="10">
        <v>1</v>
      </c>
      <c r="E46" s="11" t="s">
        <v>204</v>
      </c>
      <c r="F46" s="18" t="s">
        <v>256</v>
      </c>
      <c r="G46" s="22"/>
    </row>
    <row r="47" spans="1:7" ht="28.8">
      <c r="A47" s="21" t="s">
        <v>257</v>
      </c>
      <c r="B47" s="9" t="s">
        <v>258</v>
      </c>
      <c r="C47" s="10">
        <f t="shared" si="0"/>
        <v>45</v>
      </c>
      <c r="D47" s="10">
        <v>1</v>
      </c>
      <c r="E47" s="11" t="s">
        <v>204</v>
      </c>
      <c r="F47" s="9" t="s">
        <v>259</v>
      </c>
      <c r="G47" s="12"/>
    </row>
    <row r="48" spans="1:7" ht="43.2">
      <c r="A48" s="21" t="s">
        <v>260</v>
      </c>
      <c r="B48" s="18" t="s">
        <v>261</v>
      </c>
      <c r="C48" s="10">
        <f t="shared" si="0"/>
        <v>46</v>
      </c>
      <c r="D48" s="10">
        <v>1</v>
      </c>
      <c r="E48" s="11" t="s">
        <v>204</v>
      </c>
      <c r="F48" s="18" t="s">
        <v>262</v>
      </c>
      <c r="G48" s="12"/>
    </row>
    <row r="49" spans="1:7" ht="43.2">
      <c r="A49" s="8" t="s">
        <v>263</v>
      </c>
      <c r="B49" s="9" t="s">
        <v>264</v>
      </c>
      <c r="C49" s="10">
        <f t="shared" si="0"/>
        <v>47</v>
      </c>
      <c r="D49" s="10">
        <v>5</v>
      </c>
      <c r="E49" s="11" t="s">
        <v>159</v>
      </c>
      <c r="F49" s="9" t="s">
        <v>265</v>
      </c>
      <c r="G49" s="12"/>
    </row>
    <row r="50" spans="1:7" ht="115.2">
      <c r="A50" s="8" t="s">
        <v>266</v>
      </c>
      <c r="B50" s="9" t="s">
        <v>267</v>
      </c>
      <c r="C50" s="10">
        <f t="shared" si="0"/>
        <v>48</v>
      </c>
      <c r="D50" s="10">
        <v>1</v>
      </c>
      <c r="E50" s="11" t="s">
        <v>204</v>
      </c>
      <c r="F50" s="23" t="s">
        <v>268</v>
      </c>
      <c r="G50" s="12"/>
    </row>
    <row r="51" spans="1:7">
      <c r="A51" s="115" t="s">
        <v>165</v>
      </c>
      <c r="B51" s="116" t="s">
        <v>165</v>
      </c>
      <c r="C51" s="117">
        <f t="shared" si="0"/>
        <v>49</v>
      </c>
      <c r="D51" s="68">
        <v>1</v>
      </c>
      <c r="E51" s="77"/>
      <c r="F51" s="73"/>
      <c r="G51" s="75"/>
    </row>
    <row r="52" spans="1:7">
      <c r="A52" s="8" t="s">
        <v>165</v>
      </c>
      <c r="B52" s="9" t="s">
        <v>165</v>
      </c>
      <c r="C52" s="10">
        <f t="shared" si="0"/>
        <v>50</v>
      </c>
      <c r="D52" s="10">
        <v>9</v>
      </c>
      <c r="E52" s="11"/>
      <c r="F52" s="23"/>
      <c r="G52" s="12"/>
    </row>
    <row r="53" spans="1:7" ht="43.2">
      <c r="A53" s="27" t="s">
        <v>612</v>
      </c>
      <c r="B53" s="28" t="s">
        <v>613</v>
      </c>
      <c r="C53" s="29">
        <f t="shared" si="0"/>
        <v>51</v>
      </c>
      <c r="D53" s="29">
        <v>1</v>
      </c>
      <c r="E53" s="50" t="s">
        <v>204</v>
      </c>
      <c r="F53" s="30" t="s">
        <v>269</v>
      </c>
      <c r="G53" s="118" t="s">
        <v>614</v>
      </c>
    </row>
    <row r="54" spans="1:7" ht="57.6">
      <c r="A54" s="21" t="s">
        <v>270</v>
      </c>
      <c r="B54" s="18" t="s">
        <v>100</v>
      </c>
      <c r="C54" s="10">
        <f t="shared" si="0"/>
        <v>52</v>
      </c>
      <c r="D54" s="10">
        <v>1</v>
      </c>
      <c r="E54" s="11" t="s">
        <v>204</v>
      </c>
      <c r="F54" s="18" t="s">
        <v>250</v>
      </c>
      <c r="G54" s="22"/>
    </row>
    <row r="55" spans="1:7" ht="57.6">
      <c r="A55" s="21" t="s">
        <v>271</v>
      </c>
      <c r="B55" s="18" t="s">
        <v>101</v>
      </c>
      <c r="C55" s="10">
        <f t="shared" si="0"/>
        <v>53</v>
      </c>
      <c r="D55" s="10">
        <v>1</v>
      </c>
      <c r="E55" s="11" t="s">
        <v>204</v>
      </c>
      <c r="F55" s="18" t="s">
        <v>253</v>
      </c>
      <c r="G55" s="22"/>
    </row>
    <row r="56" spans="1:7" ht="28.8">
      <c r="A56" s="21" t="s">
        <v>272</v>
      </c>
      <c r="B56" s="18" t="s">
        <v>102</v>
      </c>
      <c r="C56" s="10">
        <f t="shared" si="0"/>
        <v>54</v>
      </c>
      <c r="D56" s="10">
        <v>1</v>
      </c>
      <c r="E56" s="11" t="s">
        <v>204</v>
      </c>
      <c r="F56" s="18" t="s">
        <v>256</v>
      </c>
      <c r="G56" s="22"/>
    </row>
    <row r="57" spans="1:7" ht="28.8">
      <c r="A57" s="21" t="s">
        <v>273</v>
      </c>
      <c r="B57" s="9" t="s">
        <v>103</v>
      </c>
      <c r="C57" s="10">
        <f t="shared" si="0"/>
        <v>55</v>
      </c>
      <c r="D57" s="10">
        <v>1</v>
      </c>
      <c r="E57" s="11" t="s">
        <v>204</v>
      </c>
      <c r="F57" s="9" t="s">
        <v>259</v>
      </c>
      <c r="G57" s="12"/>
    </row>
    <row r="58" spans="1:7" ht="43.2">
      <c r="A58" s="21" t="s">
        <v>274</v>
      </c>
      <c r="B58" s="18" t="s">
        <v>104</v>
      </c>
      <c r="C58" s="10">
        <f t="shared" si="0"/>
        <v>56</v>
      </c>
      <c r="D58" s="10">
        <v>1</v>
      </c>
      <c r="E58" s="11" t="s">
        <v>204</v>
      </c>
      <c r="F58" s="18" t="s">
        <v>262</v>
      </c>
      <c r="G58" s="12"/>
    </row>
    <row r="59" spans="1:7" ht="43.2">
      <c r="A59" s="8" t="s">
        <v>275</v>
      </c>
      <c r="B59" s="9" t="s">
        <v>105</v>
      </c>
      <c r="C59" s="10">
        <f t="shared" si="0"/>
        <v>57</v>
      </c>
      <c r="D59" s="10">
        <v>5</v>
      </c>
      <c r="E59" s="11" t="s">
        <v>159</v>
      </c>
      <c r="F59" s="9" t="s">
        <v>265</v>
      </c>
      <c r="G59" s="12"/>
    </row>
    <row r="60" spans="1:7" ht="115.2">
      <c r="A60" s="8" t="s">
        <v>276</v>
      </c>
      <c r="B60" s="9" t="s">
        <v>106</v>
      </c>
      <c r="C60" s="10">
        <f t="shared" si="0"/>
        <v>58</v>
      </c>
      <c r="D60" s="10">
        <v>1</v>
      </c>
      <c r="E60" s="11" t="s">
        <v>204</v>
      </c>
      <c r="F60" s="23" t="s">
        <v>268</v>
      </c>
      <c r="G60" s="12"/>
    </row>
    <row r="61" spans="1:7">
      <c r="A61" s="8" t="s">
        <v>165</v>
      </c>
      <c r="B61" s="9" t="s">
        <v>165</v>
      </c>
      <c r="C61" s="10">
        <f t="shared" si="0"/>
        <v>59</v>
      </c>
      <c r="D61" s="10">
        <v>10</v>
      </c>
      <c r="E61" s="11"/>
      <c r="F61" s="23"/>
      <c r="G61" s="12"/>
    </row>
    <row r="62" spans="1:7" ht="86.4">
      <c r="A62" s="174" t="s">
        <v>277</v>
      </c>
      <c r="B62" s="175" t="s">
        <v>0</v>
      </c>
      <c r="C62" s="10">
        <f t="shared" si="0"/>
        <v>60</v>
      </c>
      <c r="D62" s="10">
        <v>1</v>
      </c>
      <c r="E62" s="11" t="s">
        <v>204</v>
      </c>
      <c r="F62" s="175" t="s">
        <v>278</v>
      </c>
      <c r="G62" s="31" t="s">
        <v>615</v>
      </c>
    </row>
    <row r="63" spans="1:7" ht="57.6">
      <c r="A63" s="21" t="s">
        <v>279</v>
      </c>
      <c r="B63" s="18" t="s">
        <v>1</v>
      </c>
      <c r="C63" s="10">
        <f t="shared" si="0"/>
        <v>61</v>
      </c>
      <c r="D63" s="10">
        <v>1</v>
      </c>
      <c r="E63" s="11" t="s">
        <v>204</v>
      </c>
      <c r="F63" s="18" t="s">
        <v>250</v>
      </c>
      <c r="G63" s="22"/>
    </row>
    <row r="64" spans="1:7" ht="57.6">
      <c r="A64" s="21" t="s">
        <v>280</v>
      </c>
      <c r="B64" s="18" t="s">
        <v>2</v>
      </c>
      <c r="C64" s="10">
        <f t="shared" si="0"/>
        <v>62</v>
      </c>
      <c r="D64" s="10">
        <v>1</v>
      </c>
      <c r="E64" s="11" t="s">
        <v>204</v>
      </c>
      <c r="F64" s="18" t="s">
        <v>253</v>
      </c>
      <c r="G64" s="22"/>
    </row>
    <row r="65" spans="1:7" ht="28.8">
      <c r="A65" s="21" t="s">
        <v>281</v>
      </c>
      <c r="B65" s="18" t="s">
        <v>3</v>
      </c>
      <c r="C65" s="10">
        <f t="shared" si="0"/>
        <v>63</v>
      </c>
      <c r="D65" s="10">
        <v>1</v>
      </c>
      <c r="E65" s="11" t="s">
        <v>204</v>
      </c>
      <c r="F65" s="18" t="s">
        <v>256</v>
      </c>
      <c r="G65" s="22"/>
    </row>
    <row r="66" spans="1:7" ht="28.8">
      <c r="A66" s="21" t="s">
        <v>282</v>
      </c>
      <c r="B66" s="9" t="s">
        <v>4</v>
      </c>
      <c r="C66" s="10">
        <f t="shared" si="0"/>
        <v>64</v>
      </c>
      <c r="D66" s="10">
        <v>1</v>
      </c>
      <c r="E66" s="11" t="s">
        <v>204</v>
      </c>
      <c r="F66" s="9" t="s">
        <v>259</v>
      </c>
      <c r="G66" s="12"/>
    </row>
    <row r="67" spans="1:7" ht="43.2">
      <c r="A67" s="21" t="s">
        <v>283</v>
      </c>
      <c r="B67" s="18" t="s">
        <v>5</v>
      </c>
      <c r="C67" s="10">
        <f t="shared" si="0"/>
        <v>65</v>
      </c>
      <c r="D67" s="10">
        <v>1</v>
      </c>
      <c r="E67" s="11" t="s">
        <v>204</v>
      </c>
      <c r="F67" s="18" t="s">
        <v>262</v>
      </c>
      <c r="G67" s="12"/>
    </row>
    <row r="68" spans="1:7" ht="43.2">
      <c r="A68" s="8" t="s">
        <v>284</v>
      </c>
      <c r="B68" s="9" t="s">
        <v>6</v>
      </c>
      <c r="C68" s="10">
        <f t="shared" si="0"/>
        <v>66</v>
      </c>
      <c r="D68" s="10">
        <v>5</v>
      </c>
      <c r="E68" s="11" t="s">
        <v>159</v>
      </c>
      <c r="F68" s="9" t="s">
        <v>265</v>
      </c>
      <c r="G68" s="12"/>
    </row>
    <row r="69" spans="1:7" ht="115.2">
      <c r="A69" s="8" t="s">
        <v>285</v>
      </c>
      <c r="B69" s="9" t="s">
        <v>7</v>
      </c>
      <c r="C69" s="10">
        <f t="shared" si="0"/>
        <v>67</v>
      </c>
      <c r="D69" s="10">
        <v>1</v>
      </c>
      <c r="E69" s="11" t="s">
        <v>204</v>
      </c>
      <c r="F69" s="23" t="s">
        <v>268</v>
      </c>
      <c r="G69" s="12"/>
    </row>
    <row r="70" spans="1:7">
      <c r="A70" s="8" t="s">
        <v>165</v>
      </c>
      <c r="B70" s="9" t="s">
        <v>165</v>
      </c>
      <c r="C70" s="10">
        <f t="shared" si="0"/>
        <v>68</v>
      </c>
      <c r="D70" s="10">
        <v>10</v>
      </c>
      <c r="E70" s="11"/>
      <c r="F70" s="23"/>
      <c r="G70" s="12"/>
    </row>
    <row r="71" spans="1:7" ht="57.6">
      <c r="A71" s="21" t="s">
        <v>286</v>
      </c>
      <c r="B71" s="18" t="s">
        <v>51</v>
      </c>
      <c r="C71" s="10">
        <f t="shared" si="0"/>
        <v>69</v>
      </c>
      <c r="D71" s="10">
        <v>1</v>
      </c>
      <c r="E71" s="11" t="s">
        <v>204</v>
      </c>
      <c r="F71" s="18" t="s">
        <v>250</v>
      </c>
      <c r="G71" s="22"/>
    </row>
    <row r="72" spans="1:7" ht="57.6">
      <c r="A72" s="21" t="s">
        <v>287</v>
      </c>
      <c r="B72" s="18" t="s">
        <v>52</v>
      </c>
      <c r="C72" s="10">
        <f t="shared" si="0"/>
        <v>70</v>
      </c>
      <c r="D72" s="10">
        <v>1</v>
      </c>
      <c r="E72" s="11" t="s">
        <v>204</v>
      </c>
      <c r="F72" s="18" t="s">
        <v>253</v>
      </c>
      <c r="G72" s="22"/>
    </row>
    <row r="73" spans="1:7" ht="28.8">
      <c r="A73" s="21" t="s">
        <v>288</v>
      </c>
      <c r="B73" s="18" t="s">
        <v>53</v>
      </c>
      <c r="C73" s="10">
        <f t="shared" si="0"/>
        <v>71</v>
      </c>
      <c r="D73" s="10">
        <v>1</v>
      </c>
      <c r="E73" s="11" t="s">
        <v>204</v>
      </c>
      <c r="F73" s="18" t="s">
        <v>256</v>
      </c>
      <c r="G73" s="22"/>
    </row>
    <row r="74" spans="1:7" ht="28.8">
      <c r="A74" s="21" t="s">
        <v>289</v>
      </c>
      <c r="B74" s="9" t="s">
        <v>54</v>
      </c>
      <c r="C74" s="10">
        <f t="shared" si="0"/>
        <v>72</v>
      </c>
      <c r="D74" s="10">
        <v>1</v>
      </c>
      <c r="E74" s="11" t="s">
        <v>204</v>
      </c>
      <c r="F74" s="9" t="s">
        <v>259</v>
      </c>
      <c r="G74" s="12"/>
    </row>
    <row r="75" spans="1:7" ht="43.2">
      <c r="A75" s="21" t="s">
        <v>290</v>
      </c>
      <c r="B75" s="18" t="s">
        <v>55</v>
      </c>
      <c r="C75" s="10">
        <f t="shared" si="0"/>
        <v>73</v>
      </c>
      <c r="D75" s="10">
        <v>1</v>
      </c>
      <c r="E75" s="11" t="s">
        <v>204</v>
      </c>
      <c r="F75" s="18" t="s">
        <v>262</v>
      </c>
      <c r="G75" s="12"/>
    </row>
    <row r="76" spans="1:7" ht="43.2">
      <c r="A76" s="8" t="s">
        <v>291</v>
      </c>
      <c r="B76" s="9" t="s">
        <v>56</v>
      </c>
      <c r="C76" s="10">
        <f t="shared" si="0"/>
        <v>74</v>
      </c>
      <c r="D76" s="10">
        <v>5</v>
      </c>
      <c r="E76" s="11" t="s">
        <v>159</v>
      </c>
      <c r="F76" s="9" t="s">
        <v>265</v>
      </c>
      <c r="G76" s="12"/>
    </row>
    <row r="77" spans="1:7" ht="115.2">
      <c r="A77" s="8" t="s">
        <v>292</v>
      </c>
      <c r="B77" s="9" t="s">
        <v>57</v>
      </c>
      <c r="C77" s="10">
        <f t="shared" si="0"/>
        <v>75</v>
      </c>
      <c r="D77" s="10">
        <v>1</v>
      </c>
      <c r="E77" s="11" t="s">
        <v>204</v>
      </c>
      <c r="F77" s="23" t="s">
        <v>268</v>
      </c>
      <c r="G77" s="12"/>
    </row>
    <row r="78" spans="1:7">
      <c r="A78" s="8" t="s">
        <v>165</v>
      </c>
      <c r="B78" s="9" t="s">
        <v>165</v>
      </c>
      <c r="C78" s="10">
        <f t="shared" si="0"/>
        <v>76</v>
      </c>
      <c r="D78" s="10">
        <v>10</v>
      </c>
      <c r="E78" s="11"/>
      <c r="F78" s="23"/>
      <c r="G78" s="12"/>
    </row>
    <row r="79" spans="1:7" ht="28.8">
      <c r="A79" s="8" t="s">
        <v>149</v>
      </c>
      <c r="B79" s="9" t="s">
        <v>293</v>
      </c>
      <c r="C79" s="10">
        <f t="shared" si="0"/>
        <v>77</v>
      </c>
      <c r="D79" s="10">
        <v>1</v>
      </c>
      <c r="E79" s="11" t="s">
        <v>204</v>
      </c>
      <c r="F79" s="18" t="s">
        <v>243</v>
      </c>
      <c r="G79" s="12"/>
    </row>
    <row r="80" spans="1:7">
      <c r="A80" s="8" t="s">
        <v>165</v>
      </c>
      <c r="B80" s="9" t="s">
        <v>165</v>
      </c>
      <c r="C80" s="10">
        <f t="shared" si="0"/>
        <v>78</v>
      </c>
      <c r="D80" s="10">
        <v>1</v>
      </c>
      <c r="E80" s="11"/>
      <c r="F80" s="18"/>
      <c r="G80" s="12"/>
    </row>
    <row r="81" spans="1:7">
      <c r="A81" s="8" t="s">
        <v>165</v>
      </c>
      <c r="B81" s="9" t="s">
        <v>165</v>
      </c>
      <c r="C81" s="10">
        <f t="shared" si="0"/>
        <v>79</v>
      </c>
      <c r="D81" s="10">
        <v>1</v>
      </c>
      <c r="E81" s="26"/>
      <c r="F81" s="26"/>
      <c r="G81" s="13"/>
    </row>
    <row r="82" spans="1:7">
      <c r="A82" s="8" t="s">
        <v>294</v>
      </c>
      <c r="B82" s="9" t="s">
        <v>165</v>
      </c>
      <c r="C82" s="10">
        <f t="shared" si="0"/>
        <v>80</v>
      </c>
      <c r="D82" s="10">
        <v>1</v>
      </c>
      <c r="E82" s="18"/>
      <c r="F82" s="18"/>
      <c r="G82" s="32"/>
    </row>
    <row r="83" spans="1:7">
      <c r="A83" s="8" t="s">
        <v>165</v>
      </c>
      <c r="B83" s="9" t="s">
        <v>165</v>
      </c>
      <c r="C83" s="10">
        <f t="shared" si="0"/>
        <v>81</v>
      </c>
      <c r="D83" s="10">
        <v>1</v>
      </c>
      <c r="E83" s="25"/>
      <c r="F83" s="26"/>
      <c r="G83" s="13"/>
    </row>
    <row r="84" spans="1:7" ht="86.4">
      <c r="A84" s="8" t="s">
        <v>295</v>
      </c>
      <c r="B84" s="9" t="s">
        <v>296</v>
      </c>
      <c r="C84" s="10">
        <f t="shared" si="0"/>
        <v>82</v>
      </c>
      <c r="D84" s="10">
        <v>1</v>
      </c>
      <c r="E84" s="11" t="s">
        <v>204</v>
      </c>
      <c r="F84" s="9" t="s">
        <v>297</v>
      </c>
      <c r="G84" s="12"/>
    </row>
    <row r="85" spans="1:7" ht="86.4">
      <c r="A85" s="8" t="s">
        <v>298</v>
      </c>
      <c r="B85" s="9" t="s">
        <v>107</v>
      </c>
      <c r="C85" s="10">
        <f t="shared" si="0"/>
        <v>83</v>
      </c>
      <c r="D85" s="10">
        <v>1</v>
      </c>
      <c r="E85" s="11" t="s">
        <v>204</v>
      </c>
      <c r="F85" s="9" t="s">
        <v>297</v>
      </c>
      <c r="G85" s="12"/>
    </row>
    <row r="86" spans="1:7" ht="86.4">
      <c r="A86" s="8" t="s">
        <v>299</v>
      </c>
      <c r="B86" s="9" t="s">
        <v>8</v>
      </c>
      <c r="C86" s="10">
        <f t="shared" si="0"/>
        <v>84</v>
      </c>
      <c r="D86" s="10">
        <v>1</v>
      </c>
      <c r="E86" s="11" t="s">
        <v>204</v>
      </c>
      <c r="F86" s="9" t="s">
        <v>297</v>
      </c>
      <c r="G86" s="12"/>
    </row>
    <row r="87" spans="1:7" ht="86.4">
      <c r="A87" s="8" t="s">
        <v>300</v>
      </c>
      <c r="B87" s="9" t="s">
        <v>58</v>
      </c>
      <c r="C87" s="10">
        <f t="shared" si="0"/>
        <v>85</v>
      </c>
      <c r="D87" s="10">
        <v>1</v>
      </c>
      <c r="E87" s="11" t="s">
        <v>204</v>
      </c>
      <c r="F87" s="9" t="s">
        <v>297</v>
      </c>
      <c r="G87" s="12"/>
    </row>
    <row r="88" spans="1:7">
      <c r="A88" s="8" t="s">
        <v>165</v>
      </c>
      <c r="B88" s="9" t="s">
        <v>165</v>
      </c>
      <c r="C88" s="10">
        <f t="shared" si="0"/>
        <v>86</v>
      </c>
      <c r="D88" s="10">
        <v>1</v>
      </c>
      <c r="E88" s="11"/>
      <c r="F88" s="119"/>
      <c r="G88" s="12"/>
    </row>
    <row r="89" spans="1:7" ht="100.8">
      <c r="A89" s="8" t="s">
        <v>301</v>
      </c>
      <c r="B89" s="9" t="s">
        <v>302</v>
      </c>
      <c r="C89" s="10">
        <f t="shared" si="0"/>
        <v>87</v>
      </c>
      <c r="D89" s="10">
        <v>3</v>
      </c>
      <c r="E89" s="11" t="s">
        <v>159</v>
      </c>
      <c r="F89" s="24" t="s">
        <v>616</v>
      </c>
      <c r="G89" s="12"/>
    </row>
    <row r="90" spans="1:7" ht="72">
      <c r="A90" s="8" t="s">
        <v>303</v>
      </c>
      <c r="B90" s="9" t="s">
        <v>304</v>
      </c>
      <c r="C90" s="10">
        <f t="shared" si="0"/>
        <v>88</v>
      </c>
      <c r="D90" s="10">
        <v>1</v>
      </c>
      <c r="E90" s="11" t="s">
        <v>159</v>
      </c>
      <c r="F90" s="9" t="s">
        <v>305</v>
      </c>
      <c r="G90" s="13"/>
    </row>
    <row r="91" spans="1:7">
      <c r="A91" s="33" t="s">
        <v>165</v>
      </c>
      <c r="B91" s="34" t="s">
        <v>165</v>
      </c>
      <c r="C91" s="35">
        <f t="shared" si="0"/>
        <v>89</v>
      </c>
      <c r="D91" s="35">
        <v>30</v>
      </c>
      <c r="E91" s="36"/>
      <c r="F91" s="34"/>
      <c r="G91" s="37"/>
    </row>
    <row r="92" spans="1:7">
      <c r="A92" s="55" t="s">
        <v>165</v>
      </c>
      <c r="B92" s="46" t="s">
        <v>165</v>
      </c>
      <c r="C92" s="120">
        <f t="shared" si="0"/>
        <v>90</v>
      </c>
      <c r="D92" s="40">
        <v>1</v>
      </c>
      <c r="E92" s="43"/>
      <c r="F92" s="53"/>
      <c r="G92" s="42"/>
    </row>
    <row r="93" spans="1:7" ht="28.8">
      <c r="A93" s="38" t="s">
        <v>306</v>
      </c>
      <c r="B93" s="39" t="s">
        <v>307</v>
      </c>
      <c r="C93" s="40">
        <f t="shared" si="0"/>
        <v>91</v>
      </c>
      <c r="D93" s="40">
        <v>1</v>
      </c>
      <c r="E93" s="41" t="s">
        <v>204</v>
      </c>
      <c r="F93" s="39" t="s">
        <v>308</v>
      </c>
      <c r="G93" s="42"/>
    </row>
    <row r="94" spans="1:7" ht="28.8">
      <c r="A94" s="38" t="s">
        <v>309</v>
      </c>
      <c r="B94" s="39" t="s">
        <v>310</v>
      </c>
      <c r="C94" s="40">
        <f t="shared" si="0"/>
        <v>92</v>
      </c>
      <c r="D94" s="40">
        <v>1</v>
      </c>
      <c r="E94" s="41" t="s">
        <v>204</v>
      </c>
      <c r="F94" s="39" t="s">
        <v>311</v>
      </c>
      <c r="G94" s="42"/>
    </row>
    <row r="95" spans="1:7" ht="28.8">
      <c r="A95" s="38" t="s">
        <v>312</v>
      </c>
      <c r="B95" s="39" t="s">
        <v>313</v>
      </c>
      <c r="C95" s="40">
        <f t="shared" si="0"/>
        <v>93</v>
      </c>
      <c r="D95" s="40">
        <v>1</v>
      </c>
      <c r="E95" s="41" t="s">
        <v>204</v>
      </c>
      <c r="F95" s="39" t="s">
        <v>314</v>
      </c>
      <c r="G95" s="42"/>
    </row>
    <row r="96" spans="1:7" ht="86.4">
      <c r="A96" s="38" t="s">
        <v>315</v>
      </c>
      <c r="B96" s="39" t="s">
        <v>316</v>
      </c>
      <c r="C96" s="40">
        <f t="shared" si="0"/>
        <v>94</v>
      </c>
      <c r="D96" s="40">
        <v>5</v>
      </c>
      <c r="E96" s="41" t="s">
        <v>159</v>
      </c>
      <c r="F96" s="39" t="s">
        <v>317</v>
      </c>
      <c r="G96" s="42"/>
    </row>
    <row r="97" spans="1:7" ht="28.8">
      <c r="A97" s="38" t="s">
        <v>318</v>
      </c>
      <c r="B97" s="39" t="s">
        <v>319</v>
      </c>
      <c r="C97" s="40">
        <f t="shared" si="0"/>
        <v>95</v>
      </c>
      <c r="D97" s="40">
        <v>1</v>
      </c>
      <c r="E97" s="41" t="s">
        <v>204</v>
      </c>
      <c r="F97" s="47" t="s">
        <v>320</v>
      </c>
      <c r="G97" s="42"/>
    </row>
    <row r="98" spans="1:7" ht="28.8">
      <c r="A98" s="38" t="s">
        <v>321</v>
      </c>
      <c r="B98" s="39" t="s">
        <v>322</v>
      </c>
      <c r="C98" s="40">
        <f t="shared" si="0"/>
        <v>96</v>
      </c>
      <c r="D98" s="40">
        <v>1</v>
      </c>
      <c r="E98" s="41" t="s">
        <v>204</v>
      </c>
      <c r="F98" s="47" t="s">
        <v>243</v>
      </c>
      <c r="G98" s="42"/>
    </row>
    <row r="99" spans="1:7" ht="28.8">
      <c r="A99" s="38" t="s">
        <v>323</v>
      </c>
      <c r="B99" s="39" t="s">
        <v>324</v>
      </c>
      <c r="C99" s="40">
        <f t="shared" si="0"/>
        <v>97</v>
      </c>
      <c r="D99" s="40">
        <v>1</v>
      </c>
      <c r="E99" s="41" t="s">
        <v>204</v>
      </c>
      <c r="F99" s="47" t="s">
        <v>320</v>
      </c>
      <c r="G99" s="42"/>
    </row>
    <row r="100" spans="1:7">
      <c r="A100" s="38" t="s">
        <v>165</v>
      </c>
      <c r="B100" s="39" t="s">
        <v>165</v>
      </c>
      <c r="C100" s="40">
        <f t="shared" si="0"/>
        <v>98</v>
      </c>
      <c r="D100" s="40">
        <v>5</v>
      </c>
      <c r="E100" s="41"/>
      <c r="F100" s="47"/>
      <c r="G100" s="42"/>
    </row>
    <row r="101" spans="1:7" ht="57.6">
      <c r="A101" s="48" t="s">
        <v>617</v>
      </c>
      <c r="B101" s="49" t="s">
        <v>618</v>
      </c>
      <c r="C101" s="29">
        <f t="shared" si="0"/>
        <v>99</v>
      </c>
      <c r="D101" s="29">
        <v>1</v>
      </c>
      <c r="E101" s="50" t="s">
        <v>204</v>
      </c>
      <c r="F101" s="30" t="s">
        <v>243</v>
      </c>
      <c r="G101" s="118" t="s">
        <v>619</v>
      </c>
    </row>
    <row r="102" spans="1:7" ht="28.8">
      <c r="A102" s="38" t="s">
        <v>325</v>
      </c>
      <c r="B102" s="39" t="s">
        <v>108</v>
      </c>
      <c r="C102" s="40">
        <f t="shared" si="0"/>
        <v>100</v>
      </c>
      <c r="D102" s="40">
        <v>1</v>
      </c>
      <c r="E102" s="41" t="s">
        <v>204</v>
      </c>
      <c r="F102" s="39" t="s">
        <v>308</v>
      </c>
      <c r="G102" s="42"/>
    </row>
    <row r="103" spans="1:7" ht="28.8">
      <c r="A103" s="38" t="s">
        <v>326</v>
      </c>
      <c r="B103" s="39" t="s">
        <v>109</v>
      </c>
      <c r="C103" s="40">
        <f t="shared" si="0"/>
        <v>101</v>
      </c>
      <c r="D103" s="40">
        <v>1</v>
      </c>
      <c r="E103" s="41" t="s">
        <v>204</v>
      </c>
      <c r="F103" s="39" t="s">
        <v>311</v>
      </c>
      <c r="G103" s="42"/>
    </row>
    <row r="104" spans="1:7" ht="28.8">
      <c r="A104" s="38" t="s">
        <v>327</v>
      </c>
      <c r="B104" s="39" t="s">
        <v>110</v>
      </c>
      <c r="C104" s="40">
        <f t="shared" si="0"/>
        <v>102</v>
      </c>
      <c r="D104" s="40">
        <v>1</v>
      </c>
      <c r="E104" s="41" t="s">
        <v>204</v>
      </c>
      <c r="F104" s="39" t="s">
        <v>314</v>
      </c>
      <c r="G104" s="42"/>
    </row>
    <row r="105" spans="1:7" ht="86.4">
      <c r="A105" s="38" t="s">
        <v>328</v>
      </c>
      <c r="B105" s="39" t="s">
        <v>111</v>
      </c>
      <c r="C105" s="40">
        <f t="shared" si="0"/>
        <v>103</v>
      </c>
      <c r="D105" s="40">
        <v>5</v>
      </c>
      <c r="E105" s="41" t="s">
        <v>159</v>
      </c>
      <c r="F105" s="39" t="s">
        <v>317</v>
      </c>
      <c r="G105" s="42"/>
    </row>
    <row r="106" spans="1:7" ht="28.8">
      <c r="A106" s="38" t="s">
        <v>329</v>
      </c>
      <c r="B106" s="39" t="s">
        <v>112</v>
      </c>
      <c r="C106" s="40">
        <f t="shared" si="0"/>
        <v>104</v>
      </c>
      <c r="D106" s="40">
        <v>1</v>
      </c>
      <c r="E106" s="41" t="s">
        <v>204</v>
      </c>
      <c r="F106" s="47" t="s">
        <v>320</v>
      </c>
      <c r="G106" s="42"/>
    </row>
    <row r="107" spans="1:7" ht="28.8">
      <c r="A107" s="38" t="s">
        <v>330</v>
      </c>
      <c r="B107" s="39" t="s">
        <v>113</v>
      </c>
      <c r="C107" s="40">
        <f t="shared" si="0"/>
        <v>105</v>
      </c>
      <c r="D107" s="40">
        <v>1</v>
      </c>
      <c r="E107" s="41" t="s">
        <v>204</v>
      </c>
      <c r="F107" s="47" t="s">
        <v>243</v>
      </c>
      <c r="G107" s="42"/>
    </row>
    <row r="108" spans="1:7" ht="28.8">
      <c r="A108" s="38" t="s">
        <v>331</v>
      </c>
      <c r="B108" s="39" t="s">
        <v>114</v>
      </c>
      <c r="C108" s="40">
        <f t="shared" si="0"/>
        <v>106</v>
      </c>
      <c r="D108" s="40">
        <v>1</v>
      </c>
      <c r="E108" s="41" t="s">
        <v>204</v>
      </c>
      <c r="F108" s="47" t="s">
        <v>320</v>
      </c>
      <c r="G108" s="42"/>
    </row>
    <row r="109" spans="1:7">
      <c r="A109" s="38" t="s">
        <v>165</v>
      </c>
      <c r="B109" s="39" t="s">
        <v>165</v>
      </c>
      <c r="C109" s="40">
        <f t="shared" si="0"/>
        <v>107</v>
      </c>
      <c r="D109" s="40">
        <v>5</v>
      </c>
      <c r="E109" s="41"/>
      <c r="F109" s="47"/>
      <c r="G109" s="42"/>
    </row>
    <row r="110" spans="1:7" ht="129.6">
      <c r="A110" s="121" t="s">
        <v>620</v>
      </c>
      <c r="B110" s="176" t="s">
        <v>9</v>
      </c>
      <c r="C110" s="40">
        <f t="shared" si="0"/>
        <v>108</v>
      </c>
      <c r="D110" s="40">
        <v>1</v>
      </c>
      <c r="E110" s="41" t="s">
        <v>204</v>
      </c>
      <c r="F110" s="51" t="s">
        <v>332</v>
      </c>
      <c r="G110" s="52" t="s">
        <v>621</v>
      </c>
    </row>
    <row r="111" spans="1:7" ht="28.8">
      <c r="A111" s="38" t="s">
        <v>333</v>
      </c>
      <c r="B111" s="39" t="s">
        <v>10</v>
      </c>
      <c r="C111" s="40">
        <f t="shared" si="0"/>
        <v>109</v>
      </c>
      <c r="D111" s="40">
        <v>1</v>
      </c>
      <c r="E111" s="41" t="s">
        <v>204</v>
      </c>
      <c r="F111" s="39" t="s">
        <v>308</v>
      </c>
      <c r="G111" s="42"/>
    </row>
    <row r="112" spans="1:7" ht="28.8">
      <c r="A112" s="38" t="s">
        <v>334</v>
      </c>
      <c r="B112" s="39" t="s">
        <v>11</v>
      </c>
      <c r="C112" s="40">
        <f t="shared" si="0"/>
        <v>110</v>
      </c>
      <c r="D112" s="40">
        <v>1</v>
      </c>
      <c r="E112" s="41" t="s">
        <v>204</v>
      </c>
      <c r="F112" s="39" t="s">
        <v>311</v>
      </c>
      <c r="G112" s="42"/>
    </row>
    <row r="113" spans="1:7" ht="28.8">
      <c r="A113" s="38" t="s">
        <v>335</v>
      </c>
      <c r="B113" s="39" t="s">
        <v>12</v>
      </c>
      <c r="C113" s="40">
        <f t="shared" si="0"/>
        <v>111</v>
      </c>
      <c r="D113" s="40">
        <v>1</v>
      </c>
      <c r="E113" s="41" t="s">
        <v>204</v>
      </c>
      <c r="F113" s="39" t="s">
        <v>314</v>
      </c>
      <c r="G113" s="42"/>
    </row>
    <row r="114" spans="1:7" ht="86.4">
      <c r="A114" s="38" t="s">
        <v>336</v>
      </c>
      <c r="B114" s="39" t="s">
        <v>13</v>
      </c>
      <c r="C114" s="40">
        <f t="shared" si="0"/>
        <v>112</v>
      </c>
      <c r="D114" s="40">
        <v>5</v>
      </c>
      <c r="E114" s="41" t="s">
        <v>159</v>
      </c>
      <c r="F114" s="39" t="s">
        <v>317</v>
      </c>
      <c r="G114" s="42"/>
    </row>
    <row r="115" spans="1:7" ht="28.8">
      <c r="A115" s="38" t="s">
        <v>337</v>
      </c>
      <c r="B115" s="39" t="s">
        <v>14</v>
      </c>
      <c r="C115" s="40">
        <f t="shared" si="0"/>
        <v>113</v>
      </c>
      <c r="D115" s="40">
        <v>1</v>
      </c>
      <c r="E115" s="41" t="s">
        <v>204</v>
      </c>
      <c r="F115" s="47" t="s">
        <v>320</v>
      </c>
      <c r="G115" s="42"/>
    </row>
    <row r="116" spans="1:7" ht="28.8">
      <c r="A116" s="38" t="s">
        <v>338</v>
      </c>
      <c r="B116" s="39" t="s">
        <v>15</v>
      </c>
      <c r="C116" s="40">
        <f t="shared" si="0"/>
        <v>114</v>
      </c>
      <c r="D116" s="40">
        <v>1</v>
      </c>
      <c r="E116" s="41" t="s">
        <v>204</v>
      </c>
      <c r="F116" s="47" t="s">
        <v>243</v>
      </c>
      <c r="G116" s="42"/>
    </row>
    <row r="117" spans="1:7" ht="28.8">
      <c r="A117" s="38" t="s">
        <v>339</v>
      </c>
      <c r="B117" s="39" t="s">
        <v>16</v>
      </c>
      <c r="C117" s="40">
        <f t="shared" si="0"/>
        <v>115</v>
      </c>
      <c r="D117" s="40">
        <v>1</v>
      </c>
      <c r="E117" s="41" t="s">
        <v>204</v>
      </c>
      <c r="F117" s="47" t="s">
        <v>320</v>
      </c>
      <c r="G117" s="42"/>
    </row>
    <row r="118" spans="1:7">
      <c r="A118" s="38" t="s">
        <v>165</v>
      </c>
      <c r="B118" s="39" t="s">
        <v>165</v>
      </c>
      <c r="C118" s="40">
        <f t="shared" si="0"/>
        <v>116</v>
      </c>
      <c r="D118" s="40">
        <v>5</v>
      </c>
      <c r="E118" s="41"/>
      <c r="F118" s="47"/>
      <c r="G118" s="42"/>
    </row>
    <row r="119" spans="1:7">
      <c r="A119" s="38" t="s">
        <v>165</v>
      </c>
      <c r="B119" s="39" t="s">
        <v>165</v>
      </c>
      <c r="C119" s="40">
        <f t="shared" si="0"/>
        <v>117</v>
      </c>
      <c r="D119" s="40">
        <v>1</v>
      </c>
      <c r="E119" s="43"/>
      <c r="F119" s="53"/>
      <c r="G119" s="42"/>
    </row>
    <row r="120" spans="1:7" ht="28.8">
      <c r="A120" s="38" t="s">
        <v>340</v>
      </c>
      <c r="B120" s="39" t="s">
        <v>59</v>
      </c>
      <c r="C120" s="40">
        <f t="shared" si="0"/>
        <v>118</v>
      </c>
      <c r="D120" s="40">
        <v>1</v>
      </c>
      <c r="E120" s="41" t="s">
        <v>204</v>
      </c>
      <c r="F120" s="39" t="s">
        <v>308</v>
      </c>
      <c r="G120" s="42"/>
    </row>
    <row r="121" spans="1:7" ht="28.8">
      <c r="A121" s="38" t="s">
        <v>341</v>
      </c>
      <c r="B121" s="39" t="s">
        <v>60</v>
      </c>
      <c r="C121" s="40">
        <f t="shared" si="0"/>
        <v>119</v>
      </c>
      <c r="D121" s="40">
        <v>1</v>
      </c>
      <c r="E121" s="41" t="s">
        <v>204</v>
      </c>
      <c r="F121" s="39" t="s">
        <v>311</v>
      </c>
      <c r="G121" s="42"/>
    </row>
    <row r="122" spans="1:7" ht="28.8">
      <c r="A122" s="38" t="s">
        <v>342</v>
      </c>
      <c r="B122" s="39" t="s">
        <v>61</v>
      </c>
      <c r="C122" s="40">
        <f t="shared" si="0"/>
        <v>120</v>
      </c>
      <c r="D122" s="40">
        <v>1</v>
      </c>
      <c r="E122" s="41" t="s">
        <v>204</v>
      </c>
      <c r="F122" s="39" t="s">
        <v>314</v>
      </c>
      <c r="G122" s="42"/>
    </row>
    <row r="123" spans="1:7" ht="86.4">
      <c r="A123" s="38" t="s">
        <v>343</v>
      </c>
      <c r="B123" s="39" t="s">
        <v>62</v>
      </c>
      <c r="C123" s="40">
        <f t="shared" si="0"/>
        <v>121</v>
      </c>
      <c r="D123" s="40">
        <v>5</v>
      </c>
      <c r="E123" s="41" t="s">
        <v>159</v>
      </c>
      <c r="F123" s="39" t="s">
        <v>317</v>
      </c>
      <c r="G123" s="42"/>
    </row>
    <row r="124" spans="1:7" ht="28.8">
      <c r="A124" s="38" t="s">
        <v>344</v>
      </c>
      <c r="B124" s="39" t="s">
        <v>63</v>
      </c>
      <c r="C124" s="40">
        <f t="shared" si="0"/>
        <v>122</v>
      </c>
      <c r="D124" s="40">
        <v>1</v>
      </c>
      <c r="E124" s="41" t="s">
        <v>204</v>
      </c>
      <c r="F124" s="47" t="s">
        <v>320</v>
      </c>
      <c r="G124" s="42"/>
    </row>
    <row r="125" spans="1:7" ht="28.8">
      <c r="A125" s="38" t="s">
        <v>345</v>
      </c>
      <c r="B125" s="39" t="s">
        <v>64</v>
      </c>
      <c r="C125" s="40">
        <f t="shared" si="0"/>
        <v>123</v>
      </c>
      <c r="D125" s="40">
        <v>1</v>
      </c>
      <c r="E125" s="41" t="s">
        <v>204</v>
      </c>
      <c r="F125" s="47" t="s">
        <v>243</v>
      </c>
      <c r="G125" s="42"/>
    </row>
    <row r="126" spans="1:7" ht="28.8">
      <c r="A126" s="38" t="s">
        <v>346</v>
      </c>
      <c r="B126" s="39" t="s">
        <v>65</v>
      </c>
      <c r="C126" s="40">
        <f t="shared" si="0"/>
        <v>124</v>
      </c>
      <c r="D126" s="40">
        <v>1</v>
      </c>
      <c r="E126" s="41" t="s">
        <v>204</v>
      </c>
      <c r="F126" s="47" t="s">
        <v>320</v>
      </c>
      <c r="G126" s="42"/>
    </row>
    <row r="127" spans="1:7">
      <c r="A127" s="38" t="s">
        <v>165</v>
      </c>
      <c r="B127" s="39" t="s">
        <v>165</v>
      </c>
      <c r="C127" s="40">
        <f t="shared" si="0"/>
        <v>125</v>
      </c>
      <c r="D127" s="40">
        <v>5</v>
      </c>
      <c r="E127" s="41"/>
      <c r="F127" s="47"/>
      <c r="G127" s="42"/>
    </row>
    <row r="128" spans="1:7" ht="28.8">
      <c r="A128" s="38" t="s">
        <v>347</v>
      </c>
      <c r="B128" s="39" t="s">
        <v>348</v>
      </c>
      <c r="C128" s="40">
        <f t="shared" si="0"/>
        <v>126</v>
      </c>
      <c r="D128" s="40">
        <v>1</v>
      </c>
      <c r="E128" s="41" t="s">
        <v>204</v>
      </c>
      <c r="F128" s="47" t="s">
        <v>320</v>
      </c>
      <c r="G128" s="42"/>
    </row>
    <row r="129" spans="1:7" ht="28.8">
      <c r="A129" s="38" t="s">
        <v>349</v>
      </c>
      <c r="B129" s="39" t="s">
        <v>350</v>
      </c>
      <c r="C129" s="40">
        <f t="shared" si="0"/>
        <v>127</v>
      </c>
      <c r="D129" s="40">
        <v>1</v>
      </c>
      <c r="E129" s="41" t="s">
        <v>204</v>
      </c>
      <c r="F129" s="47" t="s">
        <v>320</v>
      </c>
      <c r="G129" s="42"/>
    </row>
    <row r="130" spans="1:7" ht="28.8">
      <c r="A130" s="38" t="s">
        <v>351</v>
      </c>
      <c r="B130" s="39" t="s">
        <v>352</v>
      </c>
      <c r="C130" s="40">
        <f t="shared" si="0"/>
        <v>128</v>
      </c>
      <c r="D130" s="40">
        <v>1</v>
      </c>
      <c r="E130" s="41" t="s">
        <v>204</v>
      </c>
      <c r="F130" s="47" t="s">
        <v>320</v>
      </c>
      <c r="G130" s="42"/>
    </row>
    <row r="131" spans="1:7" ht="28.8">
      <c r="A131" s="38" t="s">
        <v>353</v>
      </c>
      <c r="B131" s="39" t="s">
        <v>354</v>
      </c>
      <c r="C131" s="40">
        <f t="shared" si="0"/>
        <v>129</v>
      </c>
      <c r="D131" s="40">
        <v>1</v>
      </c>
      <c r="E131" s="41" t="s">
        <v>204</v>
      </c>
      <c r="F131" s="47" t="s">
        <v>320</v>
      </c>
      <c r="G131" s="42"/>
    </row>
    <row r="132" spans="1:7" ht="28.8">
      <c r="A132" s="38" t="s">
        <v>355</v>
      </c>
      <c r="B132" s="39" t="s">
        <v>356</v>
      </c>
      <c r="C132" s="40">
        <f t="shared" si="0"/>
        <v>130</v>
      </c>
      <c r="D132" s="40">
        <v>1</v>
      </c>
      <c r="E132" s="41" t="s">
        <v>204</v>
      </c>
      <c r="F132" s="47" t="s">
        <v>320</v>
      </c>
      <c r="G132" s="42"/>
    </row>
    <row r="133" spans="1:7" ht="28.8">
      <c r="A133" s="38" t="s">
        <v>357</v>
      </c>
      <c r="B133" s="39" t="s">
        <v>358</v>
      </c>
      <c r="C133" s="40">
        <f t="shared" si="0"/>
        <v>131</v>
      </c>
      <c r="D133" s="40">
        <v>1</v>
      </c>
      <c r="E133" s="41" t="s">
        <v>204</v>
      </c>
      <c r="F133" s="47" t="s">
        <v>320</v>
      </c>
      <c r="G133" s="42"/>
    </row>
    <row r="134" spans="1:7" ht="28.8">
      <c r="A134" s="38" t="s">
        <v>359</v>
      </c>
      <c r="B134" s="39" t="s">
        <v>360</v>
      </c>
      <c r="C134" s="40">
        <f t="shared" si="0"/>
        <v>132</v>
      </c>
      <c r="D134" s="40">
        <v>1</v>
      </c>
      <c r="E134" s="41" t="s">
        <v>204</v>
      </c>
      <c r="F134" s="47" t="s">
        <v>320</v>
      </c>
      <c r="G134" s="42"/>
    </row>
    <row r="135" spans="1:7" ht="28.8">
      <c r="A135" s="38" t="s">
        <v>361</v>
      </c>
      <c r="B135" s="39" t="s">
        <v>362</v>
      </c>
      <c r="C135" s="40">
        <f t="shared" si="0"/>
        <v>133</v>
      </c>
      <c r="D135" s="40">
        <v>1</v>
      </c>
      <c r="E135" s="47" t="s">
        <v>204</v>
      </c>
      <c r="F135" s="47" t="s">
        <v>243</v>
      </c>
      <c r="G135" s="54"/>
    </row>
    <row r="136" spans="1:7" ht="28.8">
      <c r="A136" s="38" t="s">
        <v>363</v>
      </c>
      <c r="B136" s="39" t="s">
        <v>364</v>
      </c>
      <c r="C136" s="40">
        <f t="shared" si="0"/>
        <v>134</v>
      </c>
      <c r="D136" s="40">
        <v>1</v>
      </c>
      <c r="E136" s="41" t="s">
        <v>204</v>
      </c>
      <c r="F136" s="47" t="s">
        <v>243</v>
      </c>
      <c r="G136" s="54"/>
    </row>
    <row r="137" spans="1:7" ht="28.8">
      <c r="A137" s="38" t="s">
        <v>365</v>
      </c>
      <c r="B137" s="39" t="s">
        <v>366</v>
      </c>
      <c r="C137" s="40">
        <f t="shared" si="0"/>
        <v>135</v>
      </c>
      <c r="D137" s="40">
        <v>1</v>
      </c>
      <c r="E137" s="41" t="s">
        <v>204</v>
      </c>
      <c r="F137" s="47" t="s">
        <v>320</v>
      </c>
      <c r="G137" s="42"/>
    </row>
    <row r="138" spans="1:7" ht="28.8">
      <c r="A138" s="38" t="s">
        <v>367</v>
      </c>
      <c r="B138" s="39" t="s">
        <v>368</v>
      </c>
      <c r="C138" s="40">
        <f t="shared" si="0"/>
        <v>136</v>
      </c>
      <c r="D138" s="40">
        <v>1</v>
      </c>
      <c r="E138" s="41" t="s">
        <v>204</v>
      </c>
      <c r="F138" s="47" t="s">
        <v>320</v>
      </c>
      <c r="G138" s="42"/>
    </row>
    <row r="139" spans="1:7" ht="28.8">
      <c r="A139" s="38" t="s">
        <v>369</v>
      </c>
      <c r="B139" s="39" t="s">
        <v>370</v>
      </c>
      <c r="C139" s="40">
        <f t="shared" si="0"/>
        <v>137</v>
      </c>
      <c r="D139" s="40">
        <v>1</v>
      </c>
      <c r="E139" s="41" t="s">
        <v>204</v>
      </c>
      <c r="F139" s="47" t="s">
        <v>320</v>
      </c>
      <c r="G139" s="42"/>
    </row>
    <row r="140" spans="1:7" ht="28.8">
      <c r="A140" s="38" t="s">
        <v>371</v>
      </c>
      <c r="B140" s="39" t="s">
        <v>372</v>
      </c>
      <c r="C140" s="40">
        <f t="shared" si="0"/>
        <v>138</v>
      </c>
      <c r="D140" s="40">
        <v>1</v>
      </c>
      <c r="E140" s="41" t="s">
        <v>204</v>
      </c>
      <c r="F140" s="47" t="s">
        <v>320</v>
      </c>
      <c r="G140" s="42"/>
    </row>
    <row r="141" spans="1:7" ht="28.8">
      <c r="A141" s="38" t="s">
        <v>373</v>
      </c>
      <c r="B141" s="39" t="s">
        <v>374</v>
      </c>
      <c r="C141" s="40">
        <f t="shared" si="0"/>
        <v>139</v>
      </c>
      <c r="D141" s="40">
        <v>1</v>
      </c>
      <c r="E141" s="41" t="s">
        <v>204</v>
      </c>
      <c r="F141" s="47" t="s">
        <v>320</v>
      </c>
      <c r="G141" s="42"/>
    </row>
    <row r="142" spans="1:7">
      <c r="A142" s="55" t="s">
        <v>165</v>
      </c>
      <c r="B142" s="46" t="s">
        <v>165</v>
      </c>
      <c r="C142" s="40">
        <f t="shared" si="0"/>
        <v>140</v>
      </c>
      <c r="D142" s="40">
        <v>1</v>
      </c>
      <c r="E142" s="43"/>
      <c r="F142" s="53"/>
      <c r="G142" s="56"/>
    </row>
    <row r="143" spans="1:7" ht="28.8">
      <c r="A143" s="38" t="s">
        <v>375</v>
      </c>
      <c r="B143" s="39" t="s">
        <v>376</v>
      </c>
      <c r="C143" s="40">
        <f t="shared" si="0"/>
        <v>141</v>
      </c>
      <c r="D143" s="40">
        <v>1</v>
      </c>
      <c r="E143" s="41" t="s">
        <v>204</v>
      </c>
      <c r="F143" s="47" t="s">
        <v>320</v>
      </c>
      <c r="G143" s="56"/>
    </row>
    <row r="144" spans="1:7" ht="28.8">
      <c r="A144" s="38" t="s">
        <v>377</v>
      </c>
      <c r="B144" s="39" t="s">
        <v>378</v>
      </c>
      <c r="C144" s="40">
        <f t="shared" si="0"/>
        <v>142</v>
      </c>
      <c r="D144" s="40">
        <v>1</v>
      </c>
      <c r="E144" s="41" t="s">
        <v>204</v>
      </c>
      <c r="F144" s="47" t="s">
        <v>320</v>
      </c>
      <c r="G144" s="56"/>
    </row>
    <row r="145" spans="1:7">
      <c r="A145" s="38" t="s">
        <v>165</v>
      </c>
      <c r="B145" s="39" t="s">
        <v>165</v>
      </c>
      <c r="C145" s="40">
        <v>143</v>
      </c>
      <c r="D145" s="40">
        <v>8</v>
      </c>
      <c r="E145" s="41"/>
      <c r="F145" s="47"/>
      <c r="G145" s="42"/>
    </row>
    <row r="146" spans="1:7" ht="28.8">
      <c r="A146" s="38" t="s">
        <v>379</v>
      </c>
      <c r="B146" s="39" t="s">
        <v>115</v>
      </c>
      <c r="C146" s="40">
        <f t="shared" ref="C146:C206" si="1">C145 + 1</f>
        <v>144</v>
      </c>
      <c r="D146" s="40">
        <v>1</v>
      </c>
      <c r="E146" s="41" t="s">
        <v>204</v>
      </c>
      <c r="F146" s="47" t="s">
        <v>320</v>
      </c>
      <c r="G146" s="42"/>
    </row>
    <row r="147" spans="1:7" ht="28.8">
      <c r="A147" s="38" t="s">
        <v>380</v>
      </c>
      <c r="B147" s="39" t="s">
        <v>116</v>
      </c>
      <c r="C147" s="40">
        <f t="shared" si="1"/>
        <v>145</v>
      </c>
      <c r="D147" s="40">
        <v>1</v>
      </c>
      <c r="E147" s="41" t="s">
        <v>204</v>
      </c>
      <c r="F147" s="47" t="s">
        <v>320</v>
      </c>
      <c r="G147" s="42"/>
    </row>
    <row r="148" spans="1:7" ht="28.8">
      <c r="A148" s="38" t="s">
        <v>381</v>
      </c>
      <c r="B148" s="39" t="s">
        <v>117</v>
      </c>
      <c r="C148" s="40">
        <f t="shared" si="1"/>
        <v>146</v>
      </c>
      <c r="D148" s="40">
        <v>1</v>
      </c>
      <c r="E148" s="41" t="s">
        <v>204</v>
      </c>
      <c r="F148" s="47" t="s">
        <v>320</v>
      </c>
      <c r="G148" s="42"/>
    </row>
    <row r="149" spans="1:7" ht="28.8">
      <c r="A149" s="38" t="s">
        <v>382</v>
      </c>
      <c r="B149" s="39" t="s">
        <v>118</v>
      </c>
      <c r="C149" s="40">
        <f t="shared" si="1"/>
        <v>147</v>
      </c>
      <c r="D149" s="40">
        <v>1</v>
      </c>
      <c r="E149" s="41" t="s">
        <v>204</v>
      </c>
      <c r="F149" s="47" t="s">
        <v>320</v>
      </c>
      <c r="G149" s="42"/>
    </row>
    <row r="150" spans="1:7" ht="28.8">
      <c r="A150" s="38" t="s">
        <v>383</v>
      </c>
      <c r="B150" s="39" t="s">
        <v>119</v>
      </c>
      <c r="C150" s="40">
        <f t="shared" si="1"/>
        <v>148</v>
      </c>
      <c r="D150" s="40">
        <v>1</v>
      </c>
      <c r="E150" s="41" t="s">
        <v>204</v>
      </c>
      <c r="F150" s="47" t="s">
        <v>320</v>
      </c>
      <c r="G150" s="42"/>
    </row>
    <row r="151" spans="1:7" ht="28.8">
      <c r="A151" s="38" t="s">
        <v>384</v>
      </c>
      <c r="B151" s="39" t="s">
        <v>120</v>
      </c>
      <c r="C151" s="40">
        <f t="shared" si="1"/>
        <v>149</v>
      </c>
      <c r="D151" s="40">
        <v>1</v>
      </c>
      <c r="E151" s="41" t="s">
        <v>204</v>
      </c>
      <c r="F151" s="47" t="s">
        <v>320</v>
      </c>
      <c r="G151" s="42"/>
    </row>
    <row r="152" spans="1:7" ht="28.8">
      <c r="A152" s="38" t="s">
        <v>385</v>
      </c>
      <c r="B152" s="39" t="s">
        <v>121</v>
      </c>
      <c r="C152" s="40">
        <f t="shared" si="1"/>
        <v>150</v>
      </c>
      <c r="D152" s="40">
        <v>1</v>
      </c>
      <c r="E152" s="41" t="s">
        <v>204</v>
      </c>
      <c r="F152" s="47" t="s">
        <v>320</v>
      </c>
      <c r="G152" s="42"/>
    </row>
    <row r="153" spans="1:7" ht="28.8">
      <c r="A153" s="38" t="s">
        <v>386</v>
      </c>
      <c r="B153" s="39" t="s">
        <v>122</v>
      </c>
      <c r="C153" s="40">
        <f t="shared" si="1"/>
        <v>151</v>
      </c>
      <c r="D153" s="40">
        <v>1</v>
      </c>
      <c r="E153" s="47" t="s">
        <v>204</v>
      </c>
      <c r="F153" s="47" t="s">
        <v>243</v>
      </c>
      <c r="G153" s="54"/>
    </row>
    <row r="154" spans="1:7" ht="28.8">
      <c r="A154" s="38" t="s">
        <v>387</v>
      </c>
      <c r="B154" s="39" t="s">
        <v>123</v>
      </c>
      <c r="C154" s="40">
        <f t="shared" si="1"/>
        <v>152</v>
      </c>
      <c r="D154" s="40">
        <v>1</v>
      </c>
      <c r="E154" s="41" t="s">
        <v>204</v>
      </c>
      <c r="F154" s="47" t="s">
        <v>243</v>
      </c>
      <c r="G154" s="54"/>
    </row>
    <row r="155" spans="1:7" ht="28.8">
      <c r="A155" s="38" t="s">
        <v>388</v>
      </c>
      <c r="B155" s="39" t="s">
        <v>124</v>
      </c>
      <c r="C155" s="40">
        <f t="shared" si="1"/>
        <v>153</v>
      </c>
      <c r="D155" s="40">
        <v>1</v>
      </c>
      <c r="E155" s="41" t="s">
        <v>204</v>
      </c>
      <c r="F155" s="47" t="s">
        <v>320</v>
      </c>
      <c r="G155" s="42"/>
    </row>
    <row r="156" spans="1:7" ht="28.8">
      <c r="A156" s="38" t="s">
        <v>389</v>
      </c>
      <c r="B156" s="39" t="s">
        <v>125</v>
      </c>
      <c r="C156" s="40">
        <f t="shared" si="1"/>
        <v>154</v>
      </c>
      <c r="D156" s="40">
        <v>1</v>
      </c>
      <c r="E156" s="41" t="s">
        <v>204</v>
      </c>
      <c r="F156" s="47" t="s">
        <v>320</v>
      </c>
      <c r="G156" s="42" t="s">
        <v>390</v>
      </c>
    </row>
    <row r="157" spans="1:7" ht="28.8">
      <c r="A157" s="38" t="s">
        <v>391</v>
      </c>
      <c r="B157" s="39" t="s">
        <v>126</v>
      </c>
      <c r="C157" s="40">
        <f t="shared" si="1"/>
        <v>155</v>
      </c>
      <c r="D157" s="40">
        <v>1</v>
      </c>
      <c r="E157" s="41" t="s">
        <v>204</v>
      </c>
      <c r="F157" s="47" t="s">
        <v>320</v>
      </c>
      <c r="G157" s="42"/>
    </row>
    <row r="158" spans="1:7" ht="28.8">
      <c r="A158" s="38" t="s">
        <v>392</v>
      </c>
      <c r="B158" s="39" t="s">
        <v>127</v>
      </c>
      <c r="C158" s="40">
        <f t="shared" si="1"/>
        <v>156</v>
      </c>
      <c r="D158" s="40">
        <v>1</v>
      </c>
      <c r="E158" s="41" t="s">
        <v>204</v>
      </c>
      <c r="F158" s="47" t="s">
        <v>320</v>
      </c>
      <c r="G158" s="42"/>
    </row>
    <row r="159" spans="1:7" ht="28.8">
      <c r="A159" s="38" t="s">
        <v>393</v>
      </c>
      <c r="B159" s="39" t="s">
        <v>128</v>
      </c>
      <c r="C159" s="40">
        <f t="shared" si="1"/>
        <v>157</v>
      </c>
      <c r="D159" s="40">
        <v>1</v>
      </c>
      <c r="E159" s="41" t="s">
        <v>204</v>
      </c>
      <c r="F159" s="47" t="s">
        <v>320</v>
      </c>
      <c r="G159" s="42"/>
    </row>
    <row r="160" spans="1:7">
      <c r="A160" s="55" t="s">
        <v>165</v>
      </c>
      <c r="B160" s="46" t="s">
        <v>165</v>
      </c>
      <c r="C160" s="40">
        <f t="shared" si="1"/>
        <v>158</v>
      </c>
      <c r="D160" s="40">
        <v>1</v>
      </c>
      <c r="E160" s="43"/>
      <c r="F160" s="53"/>
      <c r="G160" s="56"/>
    </row>
    <row r="161" spans="1:7" ht="28.8">
      <c r="A161" s="38" t="s">
        <v>394</v>
      </c>
      <c r="B161" s="39" t="s">
        <v>129</v>
      </c>
      <c r="C161" s="40">
        <f t="shared" si="1"/>
        <v>159</v>
      </c>
      <c r="D161" s="40">
        <v>1</v>
      </c>
      <c r="E161" s="41" t="s">
        <v>204</v>
      </c>
      <c r="F161" s="47" t="s">
        <v>320</v>
      </c>
      <c r="G161" s="56"/>
    </row>
    <row r="162" spans="1:7" ht="28.8">
      <c r="A162" s="38" t="s">
        <v>395</v>
      </c>
      <c r="B162" s="39" t="s">
        <v>396</v>
      </c>
      <c r="C162" s="40">
        <f t="shared" si="1"/>
        <v>160</v>
      </c>
      <c r="D162" s="40">
        <v>1</v>
      </c>
      <c r="E162" s="41" t="s">
        <v>204</v>
      </c>
      <c r="F162" s="47" t="s">
        <v>320</v>
      </c>
      <c r="G162" s="56"/>
    </row>
    <row r="163" spans="1:7">
      <c r="A163" s="38" t="s">
        <v>165</v>
      </c>
      <c r="B163" s="39" t="s">
        <v>165</v>
      </c>
      <c r="C163" s="40">
        <f t="shared" si="1"/>
        <v>161</v>
      </c>
      <c r="D163" s="40">
        <v>8</v>
      </c>
      <c r="E163" s="41"/>
      <c r="F163" s="47"/>
      <c r="G163" s="42"/>
    </row>
    <row r="164" spans="1:7" ht="28.8">
      <c r="A164" s="38" t="s">
        <v>397</v>
      </c>
      <c r="B164" s="39" t="s">
        <v>17</v>
      </c>
      <c r="C164" s="40">
        <f t="shared" si="1"/>
        <v>162</v>
      </c>
      <c r="D164" s="40">
        <v>1</v>
      </c>
      <c r="E164" s="41" t="s">
        <v>204</v>
      </c>
      <c r="F164" s="47" t="s">
        <v>320</v>
      </c>
      <c r="G164" s="42"/>
    </row>
    <row r="165" spans="1:7" ht="28.8">
      <c r="A165" s="38" t="s">
        <v>398</v>
      </c>
      <c r="B165" s="39" t="s">
        <v>18</v>
      </c>
      <c r="C165" s="40">
        <f t="shared" si="1"/>
        <v>163</v>
      </c>
      <c r="D165" s="40">
        <v>1</v>
      </c>
      <c r="E165" s="41" t="s">
        <v>204</v>
      </c>
      <c r="F165" s="47" t="s">
        <v>320</v>
      </c>
      <c r="G165" s="42"/>
    </row>
    <row r="166" spans="1:7" ht="28.8">
      <c r="A166" s="38" t="s">
        <v>399</v>
      </c>
      <c r="B166" s="39" t="s">
        <v>19</v>
      </c>
      <c r="C166" s="40">
        <f t="shared" si="1"/>
        <v>164</v>
      </c>
      <c r="D166" s="40">
        <v>1</v>
      </c>
      <c r="E166" s="41" t="s">
        <v>204</v>
      </c>
      <c r="F166" s="47" t="s">
        <v>320</v>
      </c>
      <c r="G166" s="42"/>
    </row>
    <row r="167" spans="1:7" ht="28.8">
      <c r="A167" s="38" t="s">
        <v>400</v>
      </c>
      <c r="B167" s="39" t="s">
        <v>20</v>
      </c>
      <c r="C167" s="40">
        <f t="shared" si="1"/>
        <v>165</v>
      </c>
      <c r="D167" s="40">
        <v>1</v>
      </c>
      <c r="E167" s="41" t="s">
        <v>204</v>
      </c>
      <c r="F167" s="47" t="s">
        <v>320</v>
      </c>
      <c r="G167" s="42"/>
    </row>
    <row r="168" spans="1:7" ht="28.8">
      <c r="A168" s="38" t="s">
        <v>401</v>
      </c>
      <c r="B168" s="39" t="s">
        <v>21</v>
      </c>
      <c r="C168" s="40">
        <f t="shared" si="1"/>
        <v>166</v>
      </c>
      <c r="D168" s="40">
        <v>1</v>
      </c>
      <c r="E168" s="41" t="s">
        <v>204</v>
      </c>
      <c r="F168" s="47" t="s">
        <v>320</v>
      </c>
      <c r="G168" s="42"/>
    </row>
    <row r="169" spans="1:7" ht="28.8">
      <c r="A169" s="38" t="s">
        <v>402</v>
      </c>
      <c r="B169" s="39" t="s">
        <v>22</v>
      </c>
      <c r="C169" s="40">
        <f t="shared" si="1"/>
        <v>167</v>
      </c>
      <c r="D169" s="40">
        <v>1</v>
      </c>
      <c r="E169" s="41" t="s">
        <v>204</v>
      </c>
      <c r="F169" s="47" t="s">
        <v>320</v>
      </c>
      <c r="G169" s="42"/>
    </row>
    <row r="170" spans="1:7" ht="28.8">
      <c r="A170" s="38" t="s">
        <v>403</v>
      </c>
      <c r="B170" s="39" t="s">
        <v>23</v>
      </c>
      <c r="C170" s="40">
        <f t="shared" si="1"/>
        <v>168</v>
      </c>
      <c r="D170" s="40">
        <v>1</v>
      </c>
      <c r="E170" s="41" t="s">
        <v>204</v>
      </c>
      <c r="F170" s="47" t="s">
        <v>320</v>
      </c>
      <c r="G170" s="42"/>
    </row>
    <row r="171" spans="1:7" ht="28.8">
      <c r="A171" s="38" t="s">
        <v>404</v>
      </c>
      <c r="B171" s="39" t="s">
        <v>24</v>
      </c>
      <c r="C171" s="40">
        <f t="shared" si="1"/>
        <v>169</v>
      </c>
      <c r="D171" s="40">
        <v>1</v>
      </c>
      <c r="E171" s="47" t="s">
        <v>204</v>
      </c>
      <c r="F171" s="47" t="s">
        <v>243</v>
      </c>
      <c r="G171" s="54"/>
    </row>
    <row r="172" spans="1:7" ht="28.8">
      <c r="A172" s="38" t="s">
        <v>405</v>
      </c>
      <c r="B172" s="39" t="s">
        <v>25</v>
      </c>
      <c r="C172" s="40">
        <f t="shared" si="1"/>
        <v>170</v>
      </c>
      <c r="D172" s="40">
        <v>1</v>
      </c>
      <c r="E172" s="41" t="s">
        <v>204</v>
      </c>
      <c r="F172" s="47" t="s">
        <v>243</v>
      </c>
      <c r="G172" s="54"/>
    </row>
    <row r="173" spans="1:7" ht="28.8">
      <c r="A173" s="38" t="s">
        <v>406</v>
      </c>
      <c r="B173" s="39" t="s">
        <v>26</v>
      </c>
      <c r="C173" s="40">
        <f t="shared" si="1"/>
        <v>171</v>
      </c>
      <c r="D173" s="40">
        <v>1</v>
      </c>
      <c r="E173" s="41" t="s">
        <v>204</v>
      </c>
      <c r="F173" s="47" t="s">
        <v>320</v>
      </c>
      <c r="G173" s="42"/>
    </row>
    <row r="174" spans="1:7" ht="28.8">
      <c r="A174" s="38" t="s">
        <v>407</v>
      </c>
      <c r="B174" s="39" t="s">
        <v>27</v>
      </c>
      <c r="C174" s="40">
        <f t="shared" si="1"/>
        <v>172</v>
      </c>
      <c r="D174" s="40">
        <v>1</v>
      </c>
      <c r="E174" s="41" t="s">
        <v>204</v>
      </c>
      <c r="F174" s="47" t="s">
        <v>320</v>
      </c>
      <c r="G174" s="42" t="s">
        <v>390</v>
      </c>
    </row>
    <row r="175" spans="1:7" ht="28.8">
      <c r="A175" s="38" t="s">
        <v>408</v>
      </c>
      <c r="B175" s="39" t="s">
        <v>28</v>
      </c>
      <c r="C175" s="40">
        <f t="shared" si="1"/>
        <v>173</v>
      </c>
      <c r="D175" s="40">
        <v>1</v>
      </c>
      <c r="E175" s="41" t="s">
        <v>204</v>
      </c>
      <c r="F175" s="47" t="s">
        <v>320</v>
      </c>
      <c r="G175" s="42"/>
    </row>
    <row r="176" spans="1:7" ht="28.8">
      <c r="A176" s="38" t="s">
        <v>409</v>
      </c>
      <c r="B176" s="39" t="s">
        <v>29</v>
      </c>
      <c r="C176" s="40">
        <f t="shared" si="1"/>
        <v>174</v>
      </c>
      <c r="D176" s="40">
        <v>1</v>
      </c>
      <c r="E176" s="41" t="s">
        <v>204</v>
      </c>
      <c r="F176" s="47" t="s">
        <v>320</v>
      </c>
      <c r="G176" s="42"/>
    </row>
    <row r="177" spans="1:7" ht="28.8">
      <c r="A177" s="38" t="s">
        <v>410</v>
      </c>
      <c r="B177" s="39" t="s">
        <v>30</v>
      </c>
      <c r="C177" s="40">
        <f t="shared" si="1"/>
        <v>175</v>
      </c>
      <c r="D177" s="40">
        <v>1</v>
      </c>
      <c r="E177" s="41" t="s">
        <v>204</v>
      </c>
      <c r="F177" s="47" t="s">
        <v>320</v>
      </c>
      <c r="G177" s="42"/>
    </row>
    <row r="178" spans="1:7">
      <c r="A178" s="55" t="s">
        <v>165</v>
      </c>
      <c r="B178" s="46" t="s">
        <v>165</v>
      </c>
      <c r="C178" s="40">
        <f t="shared" si="1"/>
        <v>176</v>
      </c>
      <c r="D178" s="40">
        <v>1</v>
      </c>
      <c r="E178" s="43"/>
      <c r="F178" s="53"/>
      <c r="G178" s="56"/>
    </row>
    <row r="179" spans="1:7" ht="28.8">
      <c r="A179" s="38" t="s">
        <v>411</v>
      </c>
      <c r="B179" s="39" t="s">
        <v>31</v>
      </c>
      <c r="C179" s="40">
        <f t="shared" si="1"/>
        <v>177</v>
      </c>
      <c r="D179" s="40">
        <v>1</v>
      </c>
      <c r="E179" s="41" t="s">
        <v>204</v>
      </c>
      <c r="F179" s="47" t="s">
        <v>320</v>
      </c>
      <c r="G179" s="56"/>
    </row>
    <row r="180" spans="1:7" ht="28.8">
      <c r="A180" s="38" t="s">
        <v>412</v>
      </c>
      <c r="B180" s="39" t="s">
        <v>413</v>
      </c>
      <c r="C180" s="40">
        <f t="shared" si="1"/>
        <v>178</v>
      </c>
      <c r="D180" s="40">
        <v>1</v>
      </c>
      <c r="E180" s="41" t="s">
        <v>204</v>
      </c>
      <c r="F180" s="47" t="s">
        <v>320</v>
      </c>
      <c r="G180" s="56"/>
    </row>
    <row r="181" spans="1:7">
      <c r="A181" s="38" t="s">
        <v>165</v>
      </c>
      <c r="B181" s="39" t="s">
        <v>165</v>
      </c>
      <c r="C181" s="40">
        <f t="shared" si="1"/>
        <v>179</v>
      </c>
      <c r="D181" s="40">
        <v>8</v>
      </c>
      <c r="E181" s="41"/>
      <c r="F181" s="47"/>
      <c r="G181" s="42"/>
    </row>
    <row r="182" spans="1:7" ht="28.8">
      <c r="A182" s="38" t="s">
        <v>414</v>
      </c>
      <c r="B182" s="39" t="s">
        <v>66</v>
      </c>
      <c r="C182" s="40">
        <f t="shared" si="1"/>
        <v>180</v>
      </c>
      <c r="D182" s="40">
        <v>1</v>
      </c>
      <c r="E182" s="41" t="s">
        <v>204</v>
      </c>
      <c r="F182" s="47" t="s">
        <v>320</v>
      </c>
      <c r="G182" s="42"/>
    </row>
    <row r="183" spans="1:7" ht="28.8">
      <c r="A183" s="38" t="s">
        <v>415</v>
      </c>
      <c r="B183" s="39" t="s">
        <v>67</v>
      </c>
      <c r="C183" s="40">
        <f t="shared" si="1"/>
        <v>181</v>
      </c>
      <c r="D183" s="40">
        <v>1</v>
      </c>
      <c r="E183" s="41" t="s">
        <v>204</v>
      </c>
      <c r="F183" s="47" t="s">
        <v>320</v>
      </c>
      <c r="G183" s="42"/>
    </row>
    <row r="184" spans="1:7" ht="28.8">
      <c r="A184" s="38" t="s">
        <v>416</v>
      </c>
      <c r="B184" s="39" t="s">
        <v>68</v>
      </c>
      <c r="C184" s="40">
        <f t="shared" si="1"/>
        <v>182</v>
      </c>
      <c r="D184" s="40">
        <v>1</v>
      </c>
      <c r="E184" s="41" t="s">
        <v>204</v>
      </c>
      <c r="F184" s="47" t="s">
        <v>320</v>
      </c>
      <c r="G184" s="42"/>
    </row>
    <row r="185" spans="1:7" ht="28.8">
      <c r="A185" s="38" t="s">
        <v>417</v>
      </c>
      <c r="B185" s="39" t="s">
        <v>69</v>
      </c>
      <c r="C185" s="40">
        <f t="shared" si="1"/>
        <v>183</v>
      </c>
      <c r="D185" s="40">
        <v>1</v>
      </c>
      <c r="E185" s="41" t="s">
        <v>204</v>
      </c>
      <c r="F185" s="47" t="s">
        <v>320</v>
      </c>
      <c r="G185" s="42"/>
    </row>
    <row r="186" spans="1:7" ht="28.8">
      <c r="A186" s="38" t="s">
        <v>418</v>
      </c>
      <c r="B186" s="39" t="s">
        <v>70</v>
      </c>
      <c r="C186" s="40">
        <f t="shared" si="1"/>
        <v>184</v>
      </c>
      <c r="D186" s="40">
        <v>1</v>
      </c>
      <c r="E186" s="41" t="s">
        <v>204</v>
      </c>
      <c r="F186" s="47" t="s">
        <v>320</v>
      </c>
      <c r="G186" s="42"/>
    </row>
    <row r="187" spans="1:7" ht="28.8">
      <c r="A187" s="38" t="s">
        <v>419</v>
      </c>
      <c r="B187" s="39" t="s">
        <v>71</v>
      </c>
      <c r="C187" s="40">
        <f t="shared" si="1"/>
        <v>185</v>
      </c>
      <c r="D187" s="40">
        <v>1</v>
      </c>
      <c r="E187" s="41" t="s">
        <v>204</v>
      </c>
      <c r="F187" s="47" t="s">
        <v>320</v>
      </c>
      <c r="G187" s="42"/>
    </row>
    <row r="188" spans="1:7" ht="28.8">
      <c r="A188" s="38" t="s">
        <v>420</v>
      </c>
      <c r="B188" s="39" t="s">
        <v>72</v>
      </c>
      <c r="C188" s="40">
        <f t="shared" si="1"/>
        <v>186</v>
      </c>
      <c r="D188" s="40">
        <v>1</v>
      </c>
      <c r="E188" s="41" t="s">
        <v>204</v>
      </c>
      <c r="F188" s="47" t="s">
        <v>320</v>
      </c>
      <c r="G188" s="42"/>
    </row>
    <row r="189" spans="1:7" ht="28.8">
      <c r="A189" s="38" t="s">
        <v>421</v>
      </c>
      <c r="B189" s="39" t="s">
        <v>73</v>
      </c>
      <c r="C189" s="40">
        <f t="shared" si="1"/>
        <v>187</v>
      </c>
      <c r="D189" s="40">
        <v>1</v>
      </c>
      <c r="E189" s="47" t="s">
        <v>204</v>
      </c>
      <c r="F189" s="47" t="s">
        <v>243</v>
      </c>
      <c r="G189" s="54"/>
    </row>
    <row r="190" spans="1:7" ht="28.8">
      <c r="A190" s="38" t="s">
        <v>422</v>
      </c>
      <c r="B190" s="39" t="s">
        <v>74</v>
      </c>
      <c r="C190" s="40">
        <f t="shared" si="1"/>
        <v>188</v>
      </c>
      <c r="D190" s="40">
        <v>1</v>
      </c>
      <c r="E190" s="41" t="s">
        <v>204</v>
      </c>
      <c r="F190" s="47" t="s">
        <v>243</v>
      </c>
      <c r="G190" s="54"/>
    </row>
    <row r="191" spans="1:7" ht="28.8">
      <c r="A191" s="38" t="s">
        <v>423</v>
      </c>
      <c r="B191" s="39" t="s">
        <v>75</v>
      </c>
      <c r="C191" s="40">
        <f t="shared" si="1"/>
        <v>189</v>
      </c>
      <c r="D191" s="40">
        <v>1</v>
      </c>
      <c r="E191" s="41" t="s">
        <v>204</v>
      </c>
      <c r="F191" s="47" t="s">
        <v>320</v>
      </c>
      <c r="G191" s="42"/>
    </row>
    <row r="192" spans="1:7" ht="28.8">
      <c r="A192" s="38" t="s">
        <v>424</v>
      </c>
      <c r="B192" s="39" t="s">
        <v>76</v>
      </c>
      <c r="C192" s="40">
        <f t="shared" si="1"/>
        <v>190</v>
      </c>
      <c r="D192" s="40">
        <v>1</v>
      </c>
      <c r="E192" s="41" t="s">
        <v>204</v>
      </c>
      <c r="F192" s="47" t="s">
        <v>320</v>
      </c>
      <c r="G192" s="42" t="s">
        <v>390</v>
      </c>
    </row>
    <row r="193" spans="1:7" ht="28.8">
      <c r="A193" s="38" t="s">
        <v>425</v>
      </c>
      <c r="B193" s="39" t="s">
        <v>77</v>
      </c>
      <c r="C193" s="40">
        <f t="shared" si="1"/>
        <v>191</v>
      </c>
      <c r="D193" s="40">
        <v>1</v>
      </c>
      <c r="E193" s="41" t="s">
        <v>204</v>
      </c>
      <c r="F193" s="47" t="s">
        <v>320</v>
      </c>
      <c r="G193" s="42"/>
    </row>
    <row r="194" spans="1:7" ht="28.8">
      <c r="A194" s="38" t="s">
        <v>426</v>
      </c>
      <c r="B194" s="39" t="s">
        <v>78</v>
      </c>
      <c r="C194" s="40">
        <f t="shared" si="1"/>
        <v>192</v>
      </c>
      <c r="D194" s="40">
        <v>1</v>
      </c>
      <c r="E194" s="41" t="s">
        <v>204</v>
      </c>
      <c r="F194" s="47" t="s">
        <v>320</v>
      </c>
      <c r="G194" s="42"/>
    </row>
    <row r="195" spans="1:7" ht="28.8">
      <c r="A195" s="38" t="s">
        <v>427</v>
      </c>
      <c r="B195" s="39" t="s">
        <v>80</v>
      </c>
      <c r="C195" s="40">
        <f t="shared" si="1"/>
        <v>193</v>
      </c>
      <c r="D195" s="40">
        <v>1</v>
      </c>
      <c r="E195" s="41" t="s">
        <v>204</v>
      </c>
      <c r="F195" s="47" t="s">
        <v>320</v>
      </c>
      <c r="G195" s="42"/>
    </row>
    <row r="196" spans="1:7">
      <c r="A196" s="55" t="s">
        <v>165</v>
      </c>
      <c r="B196" s="46" t="s">
        <v>165</v>
      </c>
      <c r="C196" s="40">
        <f t="shared" si="1"/>
        <v>194</v>
      </c>
      <c r="D196" s="40">
        <v>1</v>
      </c>
      <c r="E196" s="43"/>
      <c r="F196" s="53"/>
      <c r="G196" s="56"/>
    </row>
    <row r="197" spans="1:7" ht="28.8">
      <c r="A197" s="38" t="s">
        <v>428</v>
      </c>
      <c r="B197" s="39" t="s">
        <v>79</v>
      </c>
      <c r="C197" s="40">
        <f t="shared" si="1"/>
        <v>195</v>
      </c>
      <c r="D197" s="40">
        <v>1</v>
      </c>
      <c r="E197" s="41" t="s">
        <v>204</v>
      </c>
      <c r="F197" s="47" t="s">
        <v>320</v>
      </c>
      <c r="G197" s="56"/>
    </row>
    <row r="198" spans="1:7" ht="28.8">
      <c r="A198" s="38" t="s">
        <v>429</v>
      </c>
      <c r="B198" s="39" t="s">
        <v>430</v>
      </c>
      <c r="C198" s="40">
        <f t="shared" si="1"/>
        <v>196</v>
      </c>
      <c r="D198" s="40">
        <v>1</v>
      </c>
      <c r="E198" s="41" t="s">
        <v>204</v>
      </c>
      <c r="F198" s="47" t="s">
        <v>320</v>
      </c>
      <c r="G198" s="56"/>
    </row>
    <row r="199" spans="1:7">
      <c r="A199" s="38" t="s">
        <v>165</v>
      </c>
      <c r="B199" s="39" t="s">
        <v>165</v>
      </c>
      <c r="C199" s="40">
        <f t="shared" si="1"/>
        <v>197</v>
      </c>
      <c r="D199" s="40">
        <v>13</v>
      </c>
      <c r="E199" s="41"/>
      <c r="F199" s="39"/>
      <c r="G199" s="42"/>
    </row>
    <row r="200" spans="1:7">
      <c r="A200" s="38" t="s">
        <v>165</v>
      </c>
      <c r="B200" s="39" t="s">
        <v>165</v>
      </c>
      <c r="C200" s="40">
        <f t="shared" si="1"/>
        <v>198</v>
      </c>
      <c r="D200" s="40">
        <v>1</v>
      </c>
      <c r="E200" s="41"/>
      <c r="F200" s="39"/>
      <c r="G200" s="42"/>
    </row>
    <row r="201" spans="1:7" ht="43.2">
      <c r="A201" s="38" t="s">
        <v>431</v>
      </c>
      <c r="B201" s="39" t="s">
        <v>432</v>
      </c>
      <c r="C201" s="40">
        <f t="shared" si="1"/>
        <v>199</v>
      </c>
      <c r="D201" s="40">
        <v>1</v>
      </c>
      <c r="E201" s="41" t="s">
        <v>159</v>
      </c>
      <c r="F201" s="39" t="s">
        <v>433</v>
      </c>
      <c r="G201" s="54"/>
    </row>
    <row r="202" spans="1:7" ht="43.2">
      <c r="A202" s="38" t="s">
        <v>434</v>
      </c>
      <c r="B202" s="39" t="s">
        <v>435</v>
      </c>
      <c r="C202" s="40">
        <f t="shared" si="1"/>
        <v>200</v>
      </c>
      <c r="D202" s="40">
        <v>1</v>
      </c>
      <c r="E202" s="41" t="s">
        <v>159</v>
      </c>
      <c r="F202" s="39" t="s">
        <v>433</v>
      </c>
      <c r="G202" s="54"/>
    </row>
    <row r="203" spans="1:7" ht="43.2">
      <c r="A203" s="38" t="s">
        <v>436</v>
      </c>
      <c r="B203" s="39" t="s">
        <v>437</v>
      </c>
      <c r="C203" s="40">
        <f t="shared" si="1"/>
        <v>201</v>
      </c>
      <c r="D203" s="40">
        <v>1</v>
      </c>
      <c r="E203" s="41" t="s">
        <v>159</v>
      </c>
      <c r="F203" s="39" t="s">
        <v>433</v>
      </c>
      <c r="G203" s="54"/>
    </row>
    <row r="204" spans="1:7" ht="43.2">
      <c r="A204" s="38" t="s">
        <v>438</v>
      </c>
      <c r="B204" s="39" t="s">
        <v>439</v>
      </c>
      <c r="C204" s="40">
        <f t="shared" si="1"/>
        <v>202</v>
      </c>
      <c r="D204" s="40">
        <v>1</v>
      </c>
      <c r="E204" s="41" t="s">
        <v>159</v>
      </c>
      <c r="F204" s="39" t="s">
        <v>433</v>
      </c>
      <c r="G204" s="54"/>
    </row>
    <row r="205" spans="1:7">
      <c r="A205" s="38" t="s">
        <v>165</v>
      </c>
      <c r="B205" s="39" t="s">
        <v>294</v>
      </c>
      <c r="C205" s="40">
        <f t="shared" si="1"/>
        <v>203</v>
      </c>
      <c r="D205" s="40">
        <v>2</v>
      </c>
      <c r="E205" s="43"/>
      <c r="F205" s="44"/>
      <c r="G205" s="45"/>
    </row>
    <row r="206" spans="1:7">
      <c r="A206" s="57" t="s">
        <v>165</v>
      </c>
      <c r="B206" s="58" t="s">
        <v>294</v>
      </c>
      <c r="C206" s="59">
        <f t="shared" si="1"/>
        <v>204</v>
      </c>
      <c r="D206" s="59">
        <v>2</v>
      </c>
      <c r="E206" s="60"/>
      <c r="F206" s="60"/>
      <c r="G206" s="61"/>
    </row>
    <row r="207" spans="1:7">
      <c r="A207" s="62" t="s">
        <v>440</v>
      </c>
      <c r="B207" s="63"/>
      <c r="C207" s="122"/>
      <c r="D207" s="64"/>
      <c r="E207" s="63"/>
      <c r="F207" s="63"/>
      <c r="G207" s="65"/>
    </row>
    <row r="208" spans="1:7" ht="28.8">
      <c r="A208" s="66" t="s">
        <v>441</v>
      </c>
      <c r="B208" s="67" t="s">
        <v>442</v>
      </c>
      <c r="C208" s="68">
        <f>C206 + 1</f>
        <v>205</v>
      </c>
      <c r="D208" s="68">
        <v>3</v>
      </c>
      <c r="E208" s="69" t="s">
        <v>204</v>
      </c>
      <c r="F208" s="67" t="s">
        <v>443</v>
      </c>
      <c r="G208" s="70"/>
    </row>
    <row r="209" spans="1:7" ht="129.6">
      <c r="A209" s="66" t="s">
        <v>444</v>
      </c>
      <c r="B209" s="67" t="s">
        <v>445</v>
      </c>
      <c r="C209" s="68">
        <f t="shared" ref="C209:C259" si="2">C208 + 1</f>
        <v>206</v>
      </c>
      <c r="D209" s="68">
        <v>1</v>
      </c>
      <c r="E209" s="69" t="s">
        <v>204</v>
      </c>
      <c r="F209" s="71" t="s">
        <v>446</v>
      </c>
      <c r="G209" s="70"/>
    </row>
    <row r="210" spans="1:7" ht="28.8">
      <c r="A210" s="66" t="s">
        <v>447</v>
      </c>
      <c r="B210" s="67" t="s">
        <v>448</v>
      </c>
      <c r="C210" s="68">
        <f t="shared" si="2"/>
        <v>207</v>
      </c>
      <c r="D210" s="68">
        <v>3</v>
      </c>
      <c r="E210" s="69" t="s">
        <v>204</v>
      </c>
      <c r="F210" s="67" t="s">
        <v>449</v>
      </c>
      <c r="G210" s="70"/>
    </row>
    <row r="211" spans="1:7" ht="28.8">
      <c r="A211" s="66" t="s">
        <v>450</v>
      </c>
      <c r="B211" s="67" t="s">
        <v>451</v>
      </c>
      <c r="C211" s="68">
        <f t="shared" si="2"/>
        <v>208</v>
      </c>
      <c r="D211" s="68">
        <v>3</v>
      </c>
      <c r="E211" s="69" t="s">
        <v>204</v>
      </c>
      <c r="F211" s="67" t="s">
        <v>443</v>
      </c>
      <c r="G211" s="70"/>
    </row>
    <row r="212" spans="1:7" ht="28.8">
      <c r="A212" s="66" t="s">
        <v>452</v>
      </c>
      <c r="B212" s="67" t="s">
        <v>453</v>
      </c>
      <c r="C212" s="68">
        <f t="shared" si="2"/>
        <v>209</v>
      </c>
      <c r="D212" s="68">
        <v>3</v>
      </c>
      <c r="E212" s="69" t="s">
        <v>204</v>
      </c>
      <c r="F212" s="67" t="s">
        <v>443</v>
      </c>
      <c r="G212" s="70"/>
    </row>
    <row r="213" spans="1:7">
      <c r="A213" s="66" t="s">
        <v>165</v>
      </c>
      <c r="B213" s="67" t="s">
        <v>165</v>
      </c>
      <c r="C213" s="68">
        <f t="shared" si="2"/>
        <v>210</v>
      </c>
      <c r="D213" s="68">
        <v>3</v>
      </c>
      <c r="E213" s="72"/>
      <c r="F213" s="73"/>
      <c r="G213" s="74"/>
    </row>
    <row r="214" spans="1:7" ht="100.8">
      <c r="A214" s="66" t="s">
        <v>454</v>
      </c>
      <c r="B214" s="67" t="s">
        <v>455</v>
      </c>
      <c r="C214" s="68">
        <f t="shared" si="2"/>
        <v>211</v>
      </c>
      <c r="D214" s="68">
        <v>4</v>
      </c>
      <c r="E214" s="69" t="s">
        <v>204</v>
      </c>
      <c r="F214" s="67" t="s">
        <v>456</v>
      </c>
      <c r="G214" s="75" t="s">
        <v>457</v>
      </c>
    </row>
    <row r="215" spans="1:7" ht="43.2">
      <c r="A215" s="66" t="s">
        <v>458</v>
      </c>
      <c r="B215" s="67" t="s">
        <v>459</v>
      </c>
      <c r="C215" s="68">
        <f t="shared" si="2"/>
        <v>212</v>
      </c>
      <c r="D215" s="68">
        <v>6</v>
      </c>
      <c r="E215" s="69" t="s">
        <v>159</v>
      </c>
      <c r="F215" s="67" t="s">
        <v>460</v>
      </c>
      <c r="G215" s="75"/>
    </row>
    <row r="216" spans="1:7" ht="129.6">
      <c r="A216" s="66" t="s">
        <v>461</v>
      </c>
      <c r="B216" s="67" t="s">
        <v>462</v>
      </c>
      <c r="C216" s="68">
        <f t="shared" si="2"/>
        <v>213</v>
      </c>
      <c r="D216" s="68">
        <v>6</v>
      </c>
      <c r="E216" s="69" t="s">
        <v>159</v>
      </c>
      <c r="F216" s="67" t="s">
        <v>463</v>
      </c>
      <c r="G216" s="75" t="s">
        <v>464</v>
      </c>
    </row>
    <row r="217" spans="1:7" ht="115.2">
      <c r="A217" s="66" t="s">
        <v>465</v>
      </c>
      <c r="B217" s="67" t="s">
        <v>466</v>
      </c>
      <c r="C217" s="68">
        <f t="shared" si="2"/>
        <v>214</v>
      </c>
      <c r="D217" s="68">
        <v>6</v>
      </c>
      <c r="E217" s="69" t="s">
        <v>159</v>
      </c>
      <c r="F217" s="67" t="s">
        <v>467</v>
      </c>
      <c r="G217" s="75" t="s">
        <v>468</v>
      </c>
    </row>
    <row r="218" spans="1:7" ht="115.2">
      <c r="A218" s="66" t="s">
        <v>469</v>
      </c>
      <c r="B218" s="67" t="s">
        <v>470</v>
      </c>
      <c r="C218" s="68">
        <f t="shared" si="2"/>
        <v>215</v>
      </c>
      <c r="D218" s="68">
        <v>1</v>
      </c>
      <c r="E218" s="69" t="s">
        <v>204</v>
      </c>
      <c r="F218" s="67" t="s">
        <v>471</v>
      </c>
      <c r="G218" s="75"/>
    </row>
    <row r="219" spans="1:7" ht="115.2">
      <c r="A219" s="66" t="s">
        <v>472</v>
      </c>
      <c r="B219" s="67" t="s">
        <v>473</v>
      </c>
      <c r="C219" s="68">
        <f t="shared" si="2"/>
        <v>216</v>
      </c>
      <c r="D219" s="68">
        <v>1</v>
      </c>
      <c r="E219" s="69" t="s">
        <v>204</v>
      </c>
      <c r="F219" s="67" t="s">
        <v>622</v>
      </c>
      <c r="G219" s="75"/>
    </row>
    <row r="220" spans="1:7" ht="57.6">
      <c r="A220" s="66" t="s">
        <v>474</v>
      </c>
      <c r="B220" s="67" t="s">
        <v>475</v>
      </c>
      <c r="C220" s="68">
        <f t="shared" si="2"/>
        <v>217</v>
      </c>
      <c r="D220" s="68">
        <v>1</v>
      </c>
      <c r="E220" s="69" t="s">
        <v>204</v>
      </c>
      <c r="F220" s="67" t="s">
        <v>476</v>
      </c>
      <c r="G220" s="75" t="s">
        <v>477</v>
      </c>
    </row>
    <row r="221" spans="1:7" ht="86.4">
      <c r="A221" s="66" t="s">
        <v>623</v>
      </c>
      <c r="B221" s="67" t="s">
        <v>478</v>
      </c>
      <c r="C221" s="68">
        <f t="shared" si="2"/>
        <v>218</v>
      </c>
      <c r="D221" s="68">
        <v>1</v>
      </c>
      <c r="E221" s="69" t="s">
        <v>204</v>
      </c>
      <c r="F221" s="67" t="s">
        <v>479</v>
      </c>
      <c r="G221" s="76"/>
    </row>
    <row r="222" spans="1:7" ht="86.4">
      <c r="A222" s="66" t="s">
        <v>624</v>
      </c>
      <c r="B222" s="67" t="s">
        <v>480</v>
      </c>
      <c r="C222" s="68">
        <f t="shared" si="2"/>
        <v>219</v>
      </c>
      <c r="D222" s="68">
        <v>1</v>
      </c>
      <c r="E222" s="69" t="s">
        <v>204</v>
      </c>
      <c r="F222" s="67" t="s">
        <v>481</v>
      </c>
      <c r="G222" s="76"/>
    </row>
    <row r="223" spans="1:7">
      <c r="A223" s="66" t="s">
        <v>165</v>
      </c>
      <c r="B223" s="67" t="s">
        <v>165</v>
      </c>
      <c r="C223" s="68">
        <f t="shared" si="2"/>
        <v>220</v>
      </c>
      <c r="D223" s="68">
        <v>1</v>
      </c>
      <c r="E223" s="77"/>
      <c r="F223" s="72"/>
      <c r="G223" s="76"/>
    </row>
    <row r="224" spans="1:7" ht="244.8">
      <c r="A224" s="66" t="s">
        <v>625</v>
      </c>
      <c r="B224" s="67" t="s">
        <v>482</v>
      </c>
      <c r="C224" s="68">
        <f t="shared" si="2"/>
        <v>221</v>
      </c>
      <c r="D224" s="68">
        <v>1</v>
      </c>
      <c r="E224" s="69" t="s">
        <v>159</v>
      </c>
      <c r="F224" s="67" t="s">
        <v>483</v>
      </c>
      <c r="G224" s="76"/>
    </row>
    <row r="225" spans="1:7" ht="244.8">
      <c r="A225" s="66" t="s">
        <v>626</v>
      </c>
      <c r="B225" s="67" t="s">
        <v>484</v>
      </c>
      <c r="C225" s="68">
        <f t="shared" si="2"/>
        <v>222</v>
      </c>
      <c r="D225" s="68">
        <v>1</v>
      </c>
      <c r="E225" s="69" t="s">
        <v>159</v>
      </c>
      <c r="F225" s="67" t="s">
        <v>483</v>
      </c>
      <c r="G225" s="74"/>
    </row>
    <row r="226" spans="1:7" ht="86.4">
      <c r="A226" s="66" t="s">
        <v>485</v>
      </c>
      <c r="B226" s="67" t="s">
        <v>486</v>
      </c>
      <c r="C226" s="68">
        <f t="shared" si="2"/>
        <v>223</v>
      </c>
      <c r="D226" s="68">
        <v>1</v>
      </c>
      <c r="E226" s="69" t="s">
        <v>204</v>
      </c>
      <c r="F226" s="67" t="s">
        <v>479</v>
      </c>
      <c r="G226" s="75"/>
    </row>
    <row r="227" spans="1:7" ht="244.8">
      <c r="A227" s="66" t="s">
        <v>487</v>
      </c>
      <c r="B227" s="67" t="s">
        <v>488</v>
      </c>
      <c r="C227" s="68">
        <f t="shared" si="2"/>
        <v>224</v>
      </c>
      <c r="D227" s="68">
        <v>1</v>
      </c>
      <c r="E227" s="69" t="s">
        <v>159</v>
      </c>
      <c r="F227" s="67" t="s">
        <v>483</v>
      </c>
      <c r="G227" s="76"/>
    </row>
    <row r="228" spans="1:7">
      <c r="A228" s="66" t="s">
        <v>165</v>
      </c>
      <c r="B228" s="67" t="s">
        <v>165</v>
      </c>
      <c r="C228" s="68">
        <f t="shared" si="2"/>
        <v>225</v>
      </c>
      <c r="D228" s="68">
        <v>3</v>
      </c>
      <c r="E228" s="77"/>
      <c r="F228" s="72"/>
      <c r="G228" s="75"/>
    </row>
    <row r="229" spans="1:7" ht="129.6">
      <c r="A229" s="66" t="s">
        <v>489</v>
      </c>
      <c r="B229" s="67" t="s">
        <v>490</v>
      </c>
      <c r="C229" s="68">
        <f t="shared" si="2"/>
        <v>226</v>
      </c>
      <c r="D229" s="68">
        <v>1</v>
      </c>
      <c r="E229" s="69" t="s">
        <v>204</v>
      </c>
      <c r="F229" s="67" t="s">
        <v>491</v>
      </c>
      <c r="G229" s="75"/>
    </row>
    <row r="230" spans="1:7" ht="129.6">
      <c r="A230" s="66" t="s">
        <v>492</v>
      </c>
      <c r="B230" s="67" t="s">
        <v>493</v>
      </c>
      <c r="C230" s="68">
        <f t="shared" si="2"/>
        <v>227</v>
      </c>
      <c r="D230" s="68">
        <v>1</v>
      </c>
      <c r="E230" s="69" t="s">
        <v>204</v>
      </c>
      <c r="F230" s="67" t="s">
        <v>491</v>
      </c>
      <c r="G230" s="76"/>
    </row>
    <row r="231" spans="1:7" ht="129.6">
      <c r="A231" s="66" t="s">
        <v>494</v>
      </c>
      <c r="B231" s="67" t="s">
        <v>495</v>
      </c>
      <c r="C231" s="68">
        <f t="shared" si="2"/>
        <v>228</v>
      </c>
      <c r="D231" s="68">
        <v>1</v>
      </c>
      <c r="E231" s="69" t="s">
        <v>204</v>
      </c>
      <c r="F231" s="67" t="s">
        <v>491</v>
      </c>
      <c r="G231" s="79" t="s">
        <v>627</v>
      </c>
    </row>
    <row r="232" spans="1:7" ht="129.6">
      <c r="A232" s="66" t="s">
        <v>496</v>
      </c>
      <c r="B232" s="67" t="s">
        <v>497</v>
      </c>
      <c r="C232" s="68">
        <f t="shared" si="2"/>
        <v>229</v>
      </c>
      <c r="D232" s="68">
        <v>1</v>
      </c>
      <c r="E232" s="69" t="s">
        <v>204</v>
      </c>
      <c r="F232" s="67" t="s">
        <v>491</v>
      </c>
      <c r="G232" s="79" t="s">
        <v>628</v>
      </c>
    </row>
    <row r="233" spans="1:7" ht="129.6">
      <c r="A233" s="66" t="s">
        <v>498</v>
      </c>
      <c r="B233" s="67" t="s">
        <v>499</v>
      </c>
      <c r="C233" s="68">
        <f t="shared" si="2"/>
        <v>230</v>
      </c>
      <c r="D233" s="68">
        <v>1</v>
      </c>
      <c r="E233" s="69" t="s">
        <v>204</v>
      </c>
      <c r="F233" s="67" t="s">
        <v>491</v>
      </c>
      <c r="G233" s="79" t="s">
        <v>629</v>
      </c>
    </row>
    <row r="234" spans="1:7" ht="129.6">
      <c r="A234" s="66" t="s">
        <v>500</v>
      </c>
      <c r="B234" s="67" t="s">
        <v>501</v>
      </c>
      <c r="C234" s="68">
        <f t="shared" si="2"/>
        <v>231</v>
      </c>
      <c r="D234" s="68">
        <v>1</v>
      </c>
      <c r="E234" s="69" t="s">
        <v>204</v>
      </c>
      <c r="F234" s="67" t="s">
        <v>491</v>
      </c>
      <c r="G234" s="79" t="s">
        <v>630</v>
      </c>
    </row>
    <row r="235" spans="1:7" ht="129.6">
      <c r="A235" s="66" t="s">
        <v>502</v>
      </c>
      <c r="B235" s="67" t="s">
        <v>503</v>
      </c>
      <c r="C235" s="68">
        <f t="shared" si="2"/>
        <v>232</v>
      </c>
      <c r="D235" s="68">
        <v>1</v>
      </c>
      <c r="E235" s="69" t="s">
        <v>204</v>
      </c>
      <c r="F235" s="67" t="s">
        <v>491</v>
      </c>
      <c r="G235" s="79" t="s">
        <v>631</v>
      </c>
    </row>
    <row r="236" spans="1:7" ht="129.6">
      <c r="A236" s="66" t="s">
        <v>504</v>
      </c>
      <c r="B236" s="67" t="s">
        <v>505</v>
      </c>
      <c r="C236" s="68">
        <f t="shared" si="2"/>
        <v>233</v>
      </c>
      <c r="D236" s="68">
        <v>1</v>
      </c>
      <c r="E236" s="69" t="s">
        <v>204</v>
      </c>
      <c r="F236" s="67" t="s">
        <v>491</v>
      </c>
      <c r="G236" s="79" t="s">
        <v>632</v>
      </c>
    </row>
    <row r="237" spans="1:7" ht="129.6">
      <c r="A237" s="66" t="s">
        <v>506</v>
      </c>
      <c r="B237" s="67" t="s">
        <v>507</v>
      </c>
      <c r="C237" s="68">
        <f t="shared" si="2"/>
        <v>234</v>
      </c>
      <c r="D237" s="68">
        <v>1</v>
      </c>
      <c r="E237" s="69" t="s">
        <v>204</v>
      </c>
      <c r="F237" s="67" t="s">
        <v>491</v>
      </c>
      <c r="G237" s="79" t="s">
        <v>633</v>
      </c>
    </row>
    <row r="238" spans="1:7" ht="28.8">
      <c r="A238" s="66" t="s">
        <v>508</v>
      </c>
      <c r="B238" s="67" t="s">
        <v>509</v>
      </c>
      <c r="C238" s="68">
        <f t="shared" si="2"/>
        <v>235</v>
      </c>
      <c r="D238" s="68">
        <v>2</v>
      </c>
      <c r="E238" s="69" t="s">
        <v>204</v>
      </c>
      <c r="F238" s="67" t="s">
        <v>510</v>
      </c>
      <c r="G238" s="75" t="s">
        <v>634</v>
      </c>
    </row>
    <row r="239" spans="1:7" ht="28.8">
      <c r="A239" s="66" t="s">
        <v>511</v>
      </c>
      <c r="B239" s="67" t="s">
        <v>512</v>
      </c>
      <c r="C239" s="68">
        <f t="shared" si="2"/>
        <v>236</v>
      </c>
      <c r="D239" s="68">
        <v>5</v>
      </c>
      <c r="E239" s="69" t="s">
        <v>159</v>
      </c>
      <c r="F239" s="67" t="s">
        <v>513</v>
      </c>
      <c r="G239" s="75"/>
    </row>
    <row r="240" spans="1:7" ht="28.8">
      <c r="A240" s="66" t="s">
        <v>514</v>
      </c>
      <c r="B240" s="67" t="s">
        <v>515</v>
      </c>
      <c r="C240" s="68">
        <f t="shared" si="2"/>
        <v>237</v>
      </c>
      <c r="D240" s="68">
        <v>2</v>
      </c>
      <c r="E240" s="69" t="s">
        <v>204</v>
      </c>
      <c r="F240" s="67" t="s">
        <v>510</v>
      </c>
      <c r="G240" s="75" t="s">
        <v>634</v>
      </c>
    </row>
    <row r="241" spans="1:7">
      <c r="A241" s="66" t="s">
        <v>294</v>
      </c>
      <c r="B241" s="67" t="s">
        <v>165</v>
      </c>
      <c r="C241" s="68">
        <f t="shared" si="2"/>
        <v>238</v>
      </c>
      <c r="D241" s="68">
        <v>14</v>
      </c>
      <c r="E241" s="69"/>
      <c r="F241" s="67"/>
      <c r="G241" s="70"/>
    </row>
    <row r="242" spans="1:7" ht="28.8">
      <c r="A242" s="66" t="s">
        <v>516</v>
      </c>
      <c r="B242" s="67" t="s">
        <v>130</v>
      </c>
      <c r="C242" s="68">
        <f t="shared" si="2"/>
        <v>239</v>
      </c>
      <c r="D242" s="68">
        <v>3</v>
      </c>
      <c r="E242" s="69" t="s">
        <v>204</v>
      </c>
      <c r="F242" s="67" t="s">
        <v>443</v>
      </c>
      <c r="G242" s="70"/>
    </row>
    <row r="243" spans="1:7" ht="129.6">
      <c r="A243" s="66" t="s">
        <v>517</v>
      </c>
      <c r="B243" s="67" t="s">
        <v>131</v>
      </c>
      <c r="C243" s="68">
        <f t="shared" si="2"/>
        <v>240</v>
      </c>
      <c r="D243" s="68">
        <v>1</v>
      </c>
      <c r="E243" s="69" t="s">
        <v>204</v>
      </c>
      <c r="F243" s="67" t="s">
        <v>446</v>
      </c>
      <c r="G243" s="70"/>
    </row>
    <row r="244" spans="1:7" ht="28.8">
      <c r="A244" s="66" t="s">
        <v>518</v>
      </c>
      <c r="B244" s="67" t="s">
        <v>132</v>
      </c>
      <c r="C244" s="68">
        <f t="shared" si="2"/>
        <v>241</v>
      </c>
      <c r="D244" s="68">
        <v>3</v>
      </c>
      <c r="E244" s="69" t="s">
        <v>204</v>
      </c>
      <c r="F244" s="67" t="s">
        <v>449</v>
      </c>
      <c r="G244" s="70"/>
    </row>
    <row r="245" spans="1:7" ht="28.8">
      <c r="A245" s="66" t="s">
        <v>519</v>
      </c>
      <c r="B245" s="67" t="s">
        <v>133</v>
      </c>
      <c r="C245" s="68">
        <f t="shared" si="2"/>
        <v>242</v>
      </c>
      <c r="D245" s="68">
        <v>3</v>
      </c>
      <c r="E245" s="69" t="s">
        <v>204</v>
      </c>
      <c r="F245" s="67" t="s">
        <v>443</v>
      </c>
      <c r="G245" s="70"/>
    </row>
    <row r="246" spans="1:7" ht="28.8">
      <c r="A246" s="66" t="s">
        <v>520</v>
      </c>
      <c r="B246" s="67" t="s">
        <v>134</v>
      </c>
      <c r="C246" s="68">
        <f t="shared" si="2"/>
        <v>243</v>
      </c>
      <c r="D246" s="68">
        <v>3</v>
      </c>
      <c r="E246" s="69" t="s">
        <v>204</v>
      </c>
      <c r="F246" s="67" t="s">
        <v>443</v>
      </c>
      <c r="G246" s="70"/>
    </row>
    <row r="247" spans="1:7">
      <c r="A247" s="66" t="s">
        <v>294</v>
      </c>
      <c r="B247" s="67" t="s">
        <v>165</v>
      </c>
      <c r="C247" s="68">
        <f t="shared" si="2"/>
        <v>244</v>
      </c>
      <c r="D247" s="68">
        <v>2</v>
      </c>
      <c r="E247" s="77"/>
      <c r="F247" s="72"/>
      <c r="G247" s="74"/>
    </row>
    <row r="248" spans="1:7" ht="129.6">
      <c r="A248" s="66" t="s">
        <v>522</v>
      </c>
      <c r="B248" s="67" t="s">
        <v>135</v>
      </c>
      <c r="C248" s="68">
        <f t="shared" si="2"/>
        <v>245</v>
      </c>
      <c r="D248" s="68">
        <v>1</v>
      </c>
      <c r="E248" s="69" t="s">
        <v>204</v>
      </c>
      <c r="F248" s="67" t="s">
        <v>491</v>
      </c>
      <c r="G248" s="70"/>
    </row>
    <row r="249" spans="1:7" ht="129.6">
      <c r="A249" s="66" t="s">
        <v>523</v>
      </c>
      <c r="B249" s="67" t="s">
        <v>136</v>
      </c>
      <c r="C249" s="68">
        <f t="shared" si="2"/>
        <v>246</v>
      </c>
      <c r="D249" s="68">
        <v>1</v>
      </c>
      <c r="E249" s="69" t="s">
        <v>204</v>
      </c>
      <c r="F249" s="67" t="s">
        <v>491</v>
      </c>
      <c r="G249" s="70"/>
    </row>
    <row r="250" spans="1:7" ht="129.6">
      <c r="A250" s="66" t="s">
        <v>524</v>
      </c>
      <c r="B250" s="67" t="s">
        <v>137</v>
      </c>
      <c r="C250" s="68">
        <f t="shared" si="2"/>
        <v>247</v>
      </c>
      <c r="D250" s="68">
        <v>1</v>
      </c>
      <c r="E250" s="69" t="s">
        <v>204</v>
      </c>
      <c r="F250" s="67" t="s">
        <v>491</v>
      </c>
      <c r="G250" s="70"/>
    </row>
    <row r="251" spans="1:7" ht="129.6">
      <c r="A251" s="66" t="s">
        <v>525</v>
      </c>
      <c r="B251" s="67" t="s">
        <v>138</v>
      </c>
      <c r="C251" s="68">
        <f t="shared" si="2"/>
        <v>248</v>
      </c>
      <c r="D251" s="68">
        <v>1</v>
      </c>
      <c r="E251" s="69" t="s">
        <v>204</v>
      </c>
      <c r="F251" s="67" t="s">
        <v>491</v>
      </c>
      <c r="G251" s="70"/>
    </row>
    <row r="252" spans="1:7" ht="129.6">
      <c r="A252" s="66" t="s">
        <v>526</v>
      </c>
      <c r="B252" s="67" t="s">
        <v>139</v>
      </c>
      <c r="C252" s="68">
        <f t="shared" si="2"/>
        <v>249</v>
      </c>
      <c r="D252" s="68">
        <v>1</v>
      </c>
      <c r="E252" s="69" t="s">
        <v>204</v>
      </c>
      <c r="F252" s="67" t="s">
        <v>491</v>
      </c>
      <c r="G252" s="70"/>
    </row>
    <row r="253" spans="1:7" ht="28.8">
      <c r="A253" s="66" t="s">
        <v>527</v>
      </c>
      <c r="B253" s="67" t="s">
        <v>140</v>
      </c>
      <c r="C253" s="68">
        <f t="shared" si="2"/>
        <v>250</v>
      </c>
      <c r="D253" s="68">
        <v>1</v>
      </c>
      <c r="E253" s="69" t="s">
        <v>204</v>
      </c>
      <c r="F253" s="67" t="s">
        <v>521</v>
      </c>
      <c r="G253" s="75" t="s">
        <v>528</v>
      </c>
    </row>
    <row r="254" spans="1:7" ht="28.8">
      <c r="A254" s="66" t="s">
        <v>529</v>
      </c>
      <c r="B254" s="67" t="s">
        <v>141</v>
      </c>
      <c r="C254" s="68">
        <f t="shared" si="2"/>
        <v>251</v>
      </c>
      <c r="D254" s="68">
        <v>1</v>
      </c>
      <c r="E254" s="69" t="s">
        <v>204</v>
      </c>
      <c r="F254" s="67" t="s">
        <v>521</v>
      </c>
      <c r="G254" s="75" t="s">
        <v>528</v>
      </c>
    </row>
    <row r="255" spans="1:7" ht="28.8">
      <c r="A255" s="66" t="s">
        <v>530</v>
      </c>
      <c r="B255" s="67" t="s">
        <v>142</v>
      </c>
      <c r="C255" s="68">
        <f t="shared" si="2"/>
        <v>252</v>
      </c>
      <c r="D255" s="68">
        <v>1</v>
      </c>
      <c r="E255" s="69" t="s">
        <v>204</v>
      </c>
      <c r="F255" s="67" t="s">
        <v>521</v>
      </c>
      <c r="G255" s="75" t="s">
        <v>528</v>
      </c>
    </row>
    <row r="256" spans="1:7" ht="28.8">
      <c r="A256" s="66" t="s">
        <v>531</v>
      </c>
      <c r="B256" s="67" t="s">
        <v>143</v>
      </c>
      <c r="C256" s="68">
        <f t="shared" si="2"/>
        <v>253</v>
      </c>
      <c r="D256" s="68">
        <v>2</v>
      </c>
      <c r="E256" s="69" t="s">
        <v>204</v>
      </c>
      <c r="F256" s="67" t="s">
        <v>510</v>
      </c>
      <c r="G256" s="70" t="s">
        <v>634</v>
      </c>
    </row>
    <row r="257" spans="1:7" ht="28.8">
      <c r="A257" s="66" t="s">
        <v>532</v>
      </c>
      <c r="B257" s="67" t="s">
        <v>144</v>
      </c>
      <c r="C257" s="68">
        <f t="shared" si="2"/>
        <v>254</v>
      </c>
      <c r="D257" s="68">
        <v>5</v>
      </c>
      <c r="E257" s="69" t="s">
        <v>159</v>
      </c>
      <c r="F257" s="67" t="s">
        <v>513</v>
      </c>
      <c r="G257" s="70"/>
    </row>
    <row r="258" spans="1:7" ht="28.8">
      <c r="A258" s="66" t="s">
        <v>533</v>
      </c>
      <c r="B258" s="67" t="s">
        <v>145</v>
      </c>
      <c r="C258" s="68">
        <f t="shared" si="2"/>
        <v>255</v>
      </c>
      <c r="D258" s="68">
        <v>2</v>
      </c>
      <c r="E258" s="69" t="s">
        <v>204</v>
      </c>
      <c r="F258" s="67" t="s">
        <v>510</v>
      </c>
      <c r="G258" s="70" t="s">
        <v>634</v>
      </c>
    </row>
    <row r="259" spans="1:7">
      <c r="A259" s="66" t="s">
        <v>165</v>
      </c>
      <c r="B259" s="67" t="s">
        <v>165</v>
      </c>
      <c r="C259" s="68">
        <f t="shared" si="2"/>
        <v>256</v>
      </c>
      <c r="D259" s="81">
        <v>14</v>
      </c>
      <c r="E259" s="68"/>
      <c r="F259" s="67"/>
      <c r="G259" s="70"/>
    </row>
    <row r="260" spans="1:7" ht="144">
      <c r="A260" s="179" t="s">
        <v>534</v>
      </c>
      <c r="B260" s="180" t="s">
        <v>535</v>
      </c>
      <c r="C260" s="181">
        <f t="shared" ref="C260:C261" si="3">C259 + 1</f>
        <v>257</v>
      </c>
      <c r="D260" s="181">
        <v>1</v>
      </c>
      <c r="E260" s="181" t="s">
        <v>204</v>
      </c>
      <c r="F260" s="177" t="s">
        <v>635</v>
      </c>
      <c r="G260" s="178" t="s">
        <v>636</v>
      </c>
    </row>
    <row r="261" spans="1:7" ht="28.8">
      <c r="A261" s="66" t="s">
        <v>536</v>
      </c>
      <c r="B261" s="67" t="s">
        <v>32</v>
      </c>
      <c r="C261" s="68">
        <f t="shared" si="3"/>
        <v>258</v>
      </c>
      <c r="D261" s="68">
        <v>3</v>
      </c>
      <c r="E261" s="69" t="s">
        <v>204</v>
      </c>
      <c r="F261" s="67" t="s">
        <v>443</v>
      </c>
      <c r="G261" s="82"/>
    </row>
    <row r="262" spans="1:7" ht="129.6">
      <c r="A262" s="66" t="s">
        <v>537</v>
      </c>
      <c r="B262" s="67" t="s">
        <v>33</v>
      </c>
      <c r="C262" s="68">
        <f t="shared" ref="C262:C320" si="4">C261 + 1</f>
        <v>259</v>
      </c>
      <c r="D262" s="68">
        <v>1</v>
      </c>
      <c r="E262" s="69" t="s">
        <v>204</v>
      </c>
      <c r="F262" s="67" t="s">
        <v>446</v>
      </c>
      <c r="G262" s="82"/>
    </row>
    <row r="263" spans="1:7" ht="28.8">
      <c r="A263" s="66" t="s">
        <v>538</v>
      </c>
      <c r="B263" s="67" t="s">
        <v>34</v>
      </c>
      <c r="C263" s="68">
        <f t="shared" si="4"/>
        <v>260</v>
      </c>
      <c r="D263" s="68">
        <v>3</v>
      </c>
      <c r="E263" s="69" t="s">
        <v>204</v>
      </c>
      <c r="F263" s="67" t="s">
        <v>449</v>
      </c>
      <c r="G263" s="82"/>
    </row>
    <row r="264" spans="1:7" ht="28.8">
      <c r="A264" s="66" t="s">
        <v>539</v>
      </c>
      <c r="B264" s="67" t="s">
        <v>35</v>
      </c>
      <c r="C264" s="68">
        <f t="shared" si="4"/>
        <v>261</v>
      </c>
      <c r="D264" s="68">
        <v>3</v>
      </c>
      <c r="E264" s="69" t="s">
        <v>204</v>
      </c>
      <c r="F264" s="67" t="s">
        <v>443</v>
      </c>
      <c r="G264" s="82"/>
    </row>
    <row r="265" spans="1:7" ht="28.8">
      <c r="A265" s="66" t="s">
        <v>540</v>
      </c>
      <c r="B265" s="67" t="s">
        <v>36</v>
      </c>
      <c r="C265" s="68">
        <f t="shared" si="4"/>
        <v>262</v>
      </c>
      <c r="D265" s="68">
        <v>3</v>
      </c>
      <c r="E265" s="69" t="s">
        <v>204</v>
      </c>
      <c r="F265" s="67" t="s">
        <v>443</v>
      </c>
      <c r="G265" s="82"/>
    </row>
    <row r="266" spans="1:7">
      <c r="A266" s="66" t="s">
        <v>165</v>
      </c>
      <c r="B266" s="67" t="s">
        <v>165</v>
      </c>
      <c r="C266" s="68">
        <f t="shared" si="4"/>
        <v>263</v>
      </c>
      <c r="D266" s="68">
        <v>3</v>
      </c>
      <c r="E266" s="77"/>
      <c r="F266" s="72"/>
      <c r="G266" s="70"/>
    </row>
    <row r="267" spans="1:7" ht="129.6">
      <c r="A267" s="66" t="s">
        <v>541</v>
      </c>
      <c r="B267" s="67" t="s">
        <v>37</v>
      </c>
      <c r="C267" s="68">
        <f t="shared" si="4"/>
        <v>264</v>
      </c>
      <c r="D267" s="68">
        <v>1</v>
      </c>
      <c r="E267" s="69" t="s">
        <v>204</v>
      </c>
      <c r="F267" s="67" t="s">
        <v>491</v>
      </c>
      <c r="G267" s="70"/>
    </row>
    <row r="268" spans="1:7" ht="129.6">
      <c r="A268" s="66" t="s">
        <v>542</v>
      </c>
      <c r="B268" s="67" t="s">
        <v>38</v>
      </c>
      <c r="C268" s="68">
        <f t="shared" si="4"/>
        <v>265</v>
      </c>
      <c r="D268" s="68">
        <v>1</v>
      </c>
      <c r="E268" s="69" t="s">
        <v>204</v>
      </c>
      <c r="F268" s="67" t="s">
        <v>491</v>
      </c>
      <c r="G268" s="70"/>
    </row>
    <row r="269" spans="1:7" ht="129.6">
      <c r="A269" s="66" t="s">
        <v>543</v>
      </c>
      <c r="B269" s="67" t="s">
        <v>39</v>
      </c>
      <c r="C269" s="68">
        <f t="shared" si="4"/>
        <v>266</v>
      </c>
      <c r="D269" s="68">
        <v>1</v>
      </c>
      <c r="E269" s="69" t="s">
        <v>204</v>
      </c>
      <c r="F269" s="67" t="s">
        <v>491</v>
      </c>
      <c r="G269" s="70"/>
    </row>
    <row r="270" spans="1:7" ht="129.6">
      <c r="A270" s="66" t="s">
        <v>544</v>
      </c>
      <c r="B270" s="67" t="s">
        <v>40</v>
      </c>
      <c r="C270" s="68">
        <f t="shared" si="4"/>
        <v>267</v>
      </c>
      <c r="D270" s="68">
        <v>1</v>
      </c>
      <c r="E270" s="69" t="s">
        <v>204</v>
      </c>
      <c r="F270" s="67" t="s">
        <v>491</v>
      </c>
      <c r="G270" s="76"/>
    </row>
    <row r="271" spans="1:7" ht="129.6">
      <c r="A271" s="66" t="s">
        <v>545</v>
      </c>
      <c r="B271" s="67" t="s">
        <v>41</v>
      </c>
      <c r="C271" s="68">
        <f t="shared" si="4"/>
        <v>268</v>
      </c>
      <c r="D271" s="68">
        <v>1</v>
      </c>
      <c r="E271" s="69" t="s">
        <v>204</v>
      </c>
      <c r="F271" s="67" t="s">
        <v>491</v>
      </c>
      <c r="G271" s="76"/>
    </row>
    <row r="272" spans="1:7" ht="28.8">
      <c r="A272" s="66" t="s">
        <v>546</v>
      </c>
      <c r="B272" s="67" t="s">
        <v>42</v>
      </c>
      <c r="C272" s="68">
        <f t="shared" si="4"/>
        <v>269</v>
      </c>
      <c r="D272" s="68">
        <v>1</v>
      </c>
      <c r="E272" s="69" t="s">
        <v>204</v>
      </c>
      <c r="F272" s="67" t="s">
        <v>521</v>
      </c>
      <c r="G272" s="75" t="s">
        <v>528</v>
      </c>
    </row>
    <row r="273" spans="1:7" ht="28.8">
      <c r="A273" s="66" t="s">
        <v>547</v>
      </c>
      <c r="B273" s="67" t="s">
        <v>43</v>
      </c>
      <c r="C273" s="68">
        <f t="shared" si="4"/>
        <v>270</v>
      </c>
      <c r="D273" s="68">
        <v>1</v>
      </c>
      <c r="E273" s="69" t="s">
        <v>204</v>
      </c>
      <c r="F273" s="67" t="s">
        <v>521</v>
      </c>
      <c r="G273" s="75" t="s">
        <v>528</v>
      </c>
    </row>
    <row r="274" spans="1:7" ht="28.8">
      <c r="A274" s="66" t="s">
        <v>548</v>
      </c>
      <c r="B274" s="67" t="s">
        <v>44</v>
      </c>
      <c r="C274" s="68">
        <f t="shared" si="4"/>
        <v>271</v>
      </c>
      <c r="D274" s="68">
        <v>1</v>
      </c>
      <c r="E274" s="69" t="s">
        <v>204</v>
      </c>
      <c r="F274" s="67" t="s">
        <v>521</v>
      </c>
      <c r="G274" s="75" t="s">
        <v>528</v>
      </c>
    </row>
    <row r="275" spans="1:7" ht="28.8">
      <c r="A275" s="66" t="s">
        <v>549</v>
      </c>
      <c r="B275" s="67" t="s">
        <v>45</v>
      </c>
      <c r="C275" s="68">
        <f t="shared" si="4"/>
        <v>272</v>
      </c>
      <c r="D275" s="68">
        <v>2</v>
      </c>
      <c r="E275" s="69" t="s">
        <v>204</v>
      </c>
      <c r="F275" s="67" t="s">
        <v>510</v>
      </c>
      <c r="G275" s="70" t="s">
        <v>634</v>
      </c>
    </row>
    <row r="276" spans="1:7" ht="28.8">
      <c r="A276" s="66" t="s">
        <v>550</v>
      </c>
      <c r="B276" s="67" t="s">
        <v>46</v>
      </c>
      <c r="C276" s="68">
        <f t="shared" si="4"/>
        <v>273</v>
      </c>
      <c r="D276" s="68">
        <v>5</v>
      </c>
      <c r="E276" s="69" t="s">
        <v>159</v>
      </c>
      <c r="F276" s="67" t="s">
        <v>513</v>
      </c>
      <c r="G276" s="70"/>
    </row>
    <row r="277" spans="1:7" ht="28.8">
      <c r="A277" s="66" t="s">
        <v>551</v>
      </c>
      <c r="B277" s="67" t="s">
        <v>47</v>
      </c>
      <c r="C277" s="68">
        <f t="shared" si="4"/>
        <v>274</v>
      </c>
      <c r="D277" s="68">
        <v>2</v>
      </c>
      <c r="E277" s="69" t="s">
        <v>204</v>
      </c>
      <c r="F277" s="67" t="s">
        <v>510</v>
      </c>
      <c r="G277" s="70" t="s">
        <v>634</v>
      </c>
    </row>
    <row r="278" spans="1:7">
      <c r="A278" s="66" t="s">
        <v>165</v>
      </c>
      <c r="B278" s="67" t="s">
        <v>165</v>
      </c>
      <c r="C278" s="68">
        <f t="shared" si="4"/>
        <v>275</v>
      </c>
      <c r="D278" s="68">
        <v>15</v>
      </c>
      <c r="E278" s="68"/>
      <c r="F278" s="67"/>
      <c r="G278" s="70"/>
    </row>
    <row r="279" spans="1:7" ht="28.8">
      <c r="A279" s="66" t="s">
        <v>552</v>
      </c>
      <c r="B279" s="67" t="s">
        <v>81</v>
      </c>
      <c r="C279" s="68">
        <f t="shared" si="4"/>
        <v>276</v>
      </c>
      <c r="D279" s="68">
        <v>3</v>
      </c>
      <c r="E279" s="69" t="s">
        <v>204</v>
      </c>
      <c r="F279" s="67" t="s">
        <v>443</v>
      </c>
      <c r="G279" s="82"/>
    </row>
    <row r="280" spans="1:7" ht="129.6">
      <c r="A280" s="66" t="s">
        <v>553</v>
      </c>
      <c r="B280" s="67" t="s">
        <v>82</v>
      </c>
      <c r="C280" s="68">
        <f t="shared" si="4"/>
        <v>277</v>
      </c>
      <c r="D280" s="68">
        <v>1</v>
      </c>
      <c r="E280" s="69" t="s">
        <v>204</v>
      </c>
      <c r="F280" s="67" t="s">
        <v>446</v>
      </c>
      <c r="G280" s="82"/>
    </row>
    <row r="281" spans="1:7" ht="28.8">
      <c r="A281" s="66" t="s">
        <v>554</v>
      </c>
      <c r="B281" s="67" t="s">
        <v>83</v>
      </c>
      <c r="C281" s="68">
        <f t="shared" si="4"/>
        <v>278</v>
      </c>
      <c r="D281" s="68">
        <v>3</v>
      </c>
      <c r="E281" s="69" t="s">
        <v>204</v>
      </c>
      <c r="F281" s="67" t="s">
        <v>449</v>
      </c>
      <c r="G281" s="82"/>
    </row>
    <row r="282" spans="1:7" ht="28.8">
      <c r="A282" s="66" t="s">
        <v>555</v>
      </c>
      <c r="B282" s="67" t="s">
        <v>84</v>
      </c>
      <c r="C282" s="68">
        <f t="shared" si="4"/>
        <v>279</v>
      </c>
      <c r="D282" s="68">
        <v>3</v>
      </c>
      <c r="E282" s="69" t="s">
        <v>204</v>
      </c>
      <c r="F282" s="67" t="s">
        <v>443</v>
      </c>
      <c r="G282" s="82"/>
    </row>
    <row r="283" spans="1:7" ht="28.8">
      <c r="A283" s="66" t="s">
        <v>556</v>
      </c>
      <c r="B283" s="67" t="s">
        <v>85</v>
      </c>
      <c r="C283" s="68">
        <f t="shared" si="4"/>
        <v>280</v>
      </c>
      <c r="D283" s="68">
        <v>3</v>
      </c>
      <c r="E283" s="69" t="s">
        <v>204</v>
      </c>
      <c r="F283" s="67" t="s">
        <v>443</v>
      </c>
      <c r="G283" s="82"/>
    </row>
    <row r="284" spans="1:7">
      <c r="A284" s="66" t="s">
        <v>294</v>
      </c>
      <c r="B284" s="67" t="s">
        <v>165</v>
      </c>
      <c r="C284" s="68">
        <f t="shared" si="4"/>
        <v>281</v>
      </c>
      <c r="D284" s="68">
        <v>3</v>
      </c>
      <c r="E284" s="77"/>
      <c r="F284" s="72"/>
      <c r="G284" s="70"/>
    </row>
    <row r="285" spans="1:7" ht="129.6">
      <c r="A285" s="66" t="s">
        <v>557</v>
      </c>
      <c r="B285" s="67" t="s">
        <v>86</v>
      </c>
      <c r="C285" s="68">
        <f t="shared" si="4"/>
        <v>282</v>
      </c>
      <c r="D285" s="68">
        <v>1</v>
      </c>
      <c r="E285" s="69" t="s">
        <v>204</v>
      </c>
      <c r="F285" s="67" t="s">
        <v>491</v>
      </c>
      <c r="G285" s="70"/>
    </row>
    <row r="286" spans="1:7" ht="129.6">
      <c r="A286" s="66" t="s">
        <v>558</v>
      </c>
      <c r="B286" s="67" t="s">
        <v>87</v>
      </c>
      <c r="C286" s="68">
        <f t="shared" si="4"/>
        <v>283</v>
      </c>
      <c r="D286" s="68">
        <v>1</v>
      </c>
      <c r="E286" s="69" t="s">
        <v>204</v>
      </c>
      <c r="F286" s="67" t="s">
        <v>491</v>
      </c>
      <c r="G286" s="70"/>
    </row>
    <row r="287" spans="1:7" ht="129.6">
      <c r="A287" s="66" t="s">
        <v>559</v>
      </c>
      <c r="B287" s="67" t="s">
        <v>88</v>
      </c>
      <c r="C287" s="68">
        <f t="shared" si="4"/>
        <v>284</v>
      </c>
      <c r="D287" s="68">
        <v>1</v>
      </c>
      <c r="E287" s="69" t="s">
        <v>204</v>
      </c>
      <c r="F287" s="67" t="s">
        <v>491</v>
      </c>
      <c r="G287" s="70"/>
    </row>
    <row r="288" spans="1:7" ht="129.6">
      <c r="A288" s="66" t="s">
        <v>560</v>
      </c>
      <c r="B288" s="67" t="s">
        <v>89</v>
      </c>
      <c r="C288" s="68">
        <f t="shared" si="4"/>
        <v>285</v>
      </c>
      <c r="D288" s="68">
        <v>1</v>
      </c>
      <c r="E288" s="69" t="s">
        <v>204</v>
      </c>
      <c r="F288" s="67" t="s">
        <v>491</v>
      </c>
      <c r="G288" s="70"/>
    </row>
    <row r="289" spans="1:7" ht="28.8">
      <c r="A289" s="66" t="s">
        <v>561</v>
      </c>
      <c r="B289" s="67" t="s">
        <v>90</v>
      </c>
      <c r="C289" s="68">
        <f t="shared" si="4"/>
        <v>286</v>
      </c>
      <c r="D289" s="68">
        <v>1</v>
      </c>
      <c r="E289" s="69" t="s">
        <v>204</v>
      </c>
      <c r="F289" s="67" t="s">
        <v>521</v>
      </c>
      <c r="G289" s="75" t="s">
        <v>528</v>
      </c>
    </row>
    <row r="290" spans="1:7" ht="28.8">
      <c r="A290" s="66" t="s">
        <v>562</v>
      </c>
      <c r="B290" s="67" t="s">
        <v>91</v>
      </c>
      <c r="C290" s="68">
        <f t="shared" si="4"/>
        <v>287</v>
      </c>
      <c r="D290" s="68">
        <v>1</v>
      </c>
      <c r="E290" s="69" t="s">
        <v>204</v>
      </c>
      <c r="F290" s="67" t="s">
        <v>521</v>
      </c>
      <c r="G290" s="75" t="s">
        <v>528</v>
      </c>
    </row>
    <row r="291" spans="1:7" ht="28.8">
      <c r="A291" s="66" t="s">
        <v>563</v>
      </c>
      <c r="B291" s="67" t="s">
        <v>92</v>
      </c>
      <c r="C291" s="68">
        <f t="shared" si="4"/>
        <v>288</v>
      </c>
      <c r="D291" s="68">
        <v>1</v>
      </c>
      <c r="E291" s="69" t="s">
        <v>204</v>
      </c>
      <c r="F291" s="67" t="s">
        <v>521</v>
      </c>
      <c r="G291" s="75" t="s">
        <v>528</v>
      </c>
    </row>
    <row r="292" spans="1:7" ht="28.8">
      <c r="A292" s="66" t="s">
        <v>564</v>
      </c>
      <c r="B292" s="67" t="s">
        <v>93</v>
      </c>
      <c r="C292" s="68">
        <f t="shared" si="4"/>
        <v>289</v>
      </c>
      <c r="D292" s="68">
        <v>1</v>
      </c>
      <c r="E292" s="69" t="s">
        <v>204</v>
      </c>
      <c r="F292" s="67" t="s">
        <v>521</v>
      </c>
      <c r="G292" s="75" t="s">
        <v>528</v>
      </c>
    </row>
    <row r="293" spans="1:7" ht="28.8">
      <c r="A293" s="66" t="s">
        <v>565</v>
      </c>
      <c r="B293" s="67" t="s">
        <v>94</v>
      </c>
      <c r="C293" s="68">
        <f t="shared" si="4"/>
        <v>290</v>
      </c>
      <c r="D293" s="68">
        <v>2</v>
      </c>
      <c r="E293" s="69" t="s">
        <v>204</v>
      </c>
      <c r="F293" s="67" t="s">
        <v>510</v>
      </c>
      <c r="G293" s="70" t="s">
        <v>634</v>
      </c>
    </row>
    <row r="294" spans="1:7" ht="28.8">
      <c r="A294" s="66" t="s">
        <v>566</v>
      </c>
      <c r="B294" s="67" t="s">
        <v>95</v>
      </c>
      <c r="C294" s="68">
        <f t="shared" si="4"/>
        <v>291</v>
      </c>
      <c r="D294" s="68">
        <v>5</v>
      </c>
      <c r="E294" s="69" t="s">
        <v>159</v>
      </c>
      <c r="F294" s="67" t="s">
        <v>513</v>
      </c>
      <c r="G294" s="70"/>
    </row>
    <row r="295" spans="1:7" ht="28.8">
      <c r="A295" s="66" t="s">
        <v>567</v>
      </c>
      <c r="B295" s="67" t="s">
        <v>96</v>
      </c>
      <c r="C295" s="68">
        <f t="shared" si="4"/>
        <v>292</v>
      </c>
      <c r="D295" s="68">
        <v>2</v>
      </c>
      <c r="E295" s="69" t="s">
        <v>204</v>
      </c>
      <c r="F295" s="67" t="s">
        <v>510</v>
      </c>
      <c r="G295" s="70" t="s">
        <v>634</v>
      </c>
    </row>
    <row r="296" spans="1:7">
      <c r="A296" s="66" t="s">
        <v>165</v>
      </c>
      <c r="B296" s="67" t="s">
        <v>165</v>
      </c>
      <c r="C296" s="68">
        <f t="shared" si="4"/>
        <v>293</v>
      </c>
      <c r="D296" s="68">
        <v>15</v>
      </c>
      <c r="E296" s="69"/>
      <c r="F296" s="67"/>
      <c r="G296" s="70"/>
    </row>
    <row r="297" spans="1:7" ht="28.8">
      <c r="A297" s="66" t="s">
        <v>568</v>
      </c>
      <c r="B297" s="67" t="s">
        <v>151</v>
      </c>
      <c r="C297" s="68">
        <f t="shared" si="4"/>
        <v>294</v>
      </c>
      <c r="D297" s="83">
        <v>15</v>
      </c>
      <c r="E297" s="78" t="s">
        <v>159</v>
      </c>
      <c r="F297" s="80" t="s">
        <v>569</v>
      </c>
      <c r="G297" s="70"/>
    </row>
    <row r="298" spans="1:7">
      <c r="A298" s="66" t="s">
        <v>150</v>
      </c>
      <c r="B298" s="67" t="s">
        <v>570</v>
      </c>
      <c r="C298" s="68">
        <f t="shared" si="4"/>
        <v>295</v>
      </c>
      <c r="D298" s="83">
        <v>6</v>
      </c>
      <c r="E298" s="78" t="s">
        <v>159</v>
      </c>
      <c r="F298" s="67" t="s">
        <v>571</v>
      </c>
      <c r="G298" s="70"/>
    </row>
    <row r="299" spans="1:7" ht="28.8">
      <c r="A299" s="66" t="s">
        <v>572</v>
      </c>
      <c r="B299" s="78" t="s">
        <v>573</v>
      </c>
      <c r="C299" s="68">
        <f t="shared" si="4"/>
        <v>296</v>
      </c>
      <c r="D299" s="83">
        <v>1</v>
      </c>
      <c r="E299" s="78" t="s">
        <v>159</v>
      </c>
      <c r="F299" s="67" t="s">
        <v>574</v>
      </c>
      <c r="G299" s="82"/>
    </row>
    <row r="300" spans="1:7">
      <c r="A300" s="84" t="s">
        <v>165</v>
      </c>
      <c r="B300" s="85" t="s">
        <v>165</v>
      </c>
      <c r="C300" s="68">
        <f t="shared" si="4"/>
        <v>297</v>
      </c>
      <c r="D300" s="86">
        <v>1</v>
      </c>
      <c r="E300" s="87"/>
      <c r="F300" s="88"/>
      <c r="G300" s="89"/>
    </row>
    <row r="301" spans="1:7" ht="100.8">
      <c r="A301" s="66" t="s">
        <v>575</v>
      </c>
      <c r="B301" s="67" t="s">
        <v>576</v>
      </c>
      <c r="C301" s="68">
        <f t="shared" si="4"/>
        <v>298</v>
      </c>
      <c r="D301" s="83">
        <v>4</v>
      </c>
      <c r="E301" s="78" t="s">
        <v>159</v>
      </c>
      <c r="F301" s="67" t="s">
        <v>637</v>
      </c>
      <c r="G301" s="82"/>
    </row>
    <row r="302" spans="1:7">
      <c r="A302" s="90" t="s">
        <v>577</v>
      </c>
      <c r="B302" s="91" t="s">
        <v>578</v>
      </c>
      <c r="C302" s="68">
        <f t="shared" si="4"/>
        <v>299</v>
      </c>
      <c r="D302" s="68">
        <v>1</v>
      </c>
      <c r="E302" s="69" t="s">
        <v>159</v>
      </c>
      <c r="F302" s="91" t="s">
        <v>579</v>
      </c>
      <c r="G302" s="92"/>
    </row>
    <row r="303" spans="1:7">
      <c r="A303" s="93" t="s">
        <v>165</v>
      </c>
      <c r="B303" s="94" t="s">
        <v>165</v>
      </c>
      <c r="C303" s="95">
        <f t="shared" si="4"/>
        <v>300</v>
      </c>
      <c r="D303" s="95">
        <v>20</v>
      </c>
      <c r="E303" s="96"/>
      <c r="F303" s="97"/>
      <c r="G303" s="98"/>
    </row>
    <row r="304" spans="1:7">
      <c r="A304" s="99" t="s">
        <v>580</v>
      </c>
      <c r="B304" s="99" t="s">
        <v>581</v>
      </c>
      <c r="C304" s="100">
        <f t="shared" si="4"/>
        <v>301</v>
      </c>
      <c r="D304" s="100">
        <v>20</v>
      </c>
      <c r="E304" s="101" t="s">
        <v>204</v>
      </c>
      <c r="F304" s="99"/>
      <c r="G304" s="99"/>
    </row>
    <row r="305" spans="1:7" ht="28.8">
      <c r="A305" s="102" t="s">
        <v>582</v>
      </c>
      <c r="B305" s="102" t="s">
        <v>583</v>
      </c>
      <c r="C305" s="103">
        <f t="shared" si="4"/>
        <v>302</v>
      </c>
      <c r="D305" s="103">
        <v>20</v>
      </c>
      <c r="E305" s="104" t="s">
        <v>204</v>
      </c>
      <c r="F305" s="102"/>
      <c r="G305" s="102"/>
    </row>
    <row r="306" spans="1:7" ht="28.8">
      <c r="A306" s="102" t="s">
        <v>584</v>
      </c>
      <c r="B306" s="102" t="s">
        <v>146</v>
      </c>
      <c r="C306" s="103">
        <f t="shared" si="4"/>
        <v>303</v>
      </c>
      <c r="D306" s="103">
        <v>20</v>
      </c>
      <c r="E306" s="104" t="s">
        <v>204</v>
      </c>
      <c r="F306" s="102"/>
      <c r="G306" s="102"/>
    </row>
    <row r="307" spans="1:7" ht="28.8">
      <c r="A307" s="102" t="s">
        <v>585</v>
      </c>
      <c r="B307" s="102" t="s">
        <v>48</v>
      </c>
      <c r="C307" s="103">
        <f t="shared" si="4"/>
        <v>304</v>
      </c>
      <c r="D307" s="103">
        <v>20</v>
      </c>
      <c r="E307" s="104" t="s">
        <v>204</v>
      </c>
      <c r="F307" s="102"/>
      <c r="G307" s="102"/>
    </row>
    <row r="308" spans="1:7" ht="28.8">
      <c r="A308" s="102" t="s">
        <v>586</v>
      </c>
      <c r="B308" s="102" t="s">
        <v>97</v>
      </c>
      <c r="C308" s="103">
        <f t="shared" si="4"/>
        <v>305</v>
      </c>
      <c r="D308" s="103">
        <v>20</v>
      </c>
      <c r="E308" s="104" t="s">
        <v>204</v>
      </c>
      <c r="F308" s="102"/>
      <c r="G308" s="102"/>
    </row>
    <row r="309" spans="1:7" ht="28.8">
      <c r="A309" s="102" t="s">
        <v>587</v>
      </c>
      <c r="B309" s="102" t="s">
        <v>588</v>
      </c>
      <c r="C309" s="103">
        <f t="shared" si="4"/>
        <v>306</v>
      </c>
      <c r="D309" s="103">
        <v>20</v>
      </c>
      <c r="E309" s="104" t="s">
        <v>204</v>
      </c>
      <c r="F309" s="102"/>
      <c r="G309" s="102"/>
    </row>
    <row r="310" spans="1:7" ht="28.8">
      <c r="A310" s="102" t="s">
        <v>589</v>
      </c>
      <c r="B310" s="102" t="s">
        <v>147</v>
      </c>
      <c r="C310" s="103">
        <f t="shared" si="4"/>
        <v>307</v>
      </c>
      <c r="D310" s="103">
        <v>20</v>
      </c>
      <c r="E310" s="104" t="s">
        <v>204</v>
      </c>
      <c r="F310" s="102"/>
      <c r="G310" s="102"/>
    </row>
    <row r="311" spans="1:7" ht="28.8">
      <c r="A311" s="102" t="s">
        <v>590</v>
      </c>
      <c r="B311" s="102" t="s">
        <v>49</v>
      </c>
      <c r="C311" s="103">
        <f t="shared" si="4"/>
        <v>308</v>
      </c>
      <c r="D311" s="103">
        <v>20</v>
      </c>
      <c r="E311" s="104" t="s">
        <v>204</v>
      </c>
      <c r="F311" s="102"/>
      <c r="G311" s="102"/>
    </row>
    <row r="312" spans="1:7" ht="28.8">
      <c r="A312" s="102" t="s">
        <v>591</v>
      </c>
      <c r="B312" s="102" t="s">
        <v>98</v>
      </c>
      <c r="C312" s="103">
        <f t="shared" si="4"/>
        <v>309</v>
      </c>
      <c r="D312" s="103">
        <v>20</v>
      </c>
      <c r="E312" s="104" t="s">
        <v>204</v>
      </c>
      <c r="F312" s="102"/>
      <c r="G312" s="102"/>
    </row>
    <row r="313" spans="1:7">
      <c r="A313" s="102" t="s">
        <v>592</v>
      </c>
      <c r="B313" s="102" t="s">
        <v>593</v>
      </c>
      <c r="C313" s="103">
        <f t="shared" si="4"/>
        <v>310</v>
      </c>
      <c r="D313" s="103">
        <v>20</v>
      </c>
      <c r="E313" s="104" t="s">
        <v>204</v>
      </c>
      <c r="F313" s="102"/>
      <c r="G313" s="102"/>
    </row>
    <row r="314" spans="1:7">
      <c r="A314" s="102" t="s">
        <v>594</v>
      </c>
      <c r="B314" s="102" t="s">
        <v>595</v>
      </c>
      <c r="C314" s="103">
        <f t="shared" si="4"/>
        <v>311</v>
      </c>
      <c r="D314" s="103">
        <v>20</v>
      </c>
      <c r="E314" s="104" t="s">
        <v>204</v>
      </c>
      <c r="F314" s="102"/>
      <c r="G314" s="102"/>
    </row>
    <row r="315" spans="1:7" ht="28.8">
      <c r="A315" s="102" t="s">
        <v>596</v>
      </c>
      <c r="B315" s="102" t="s">
        <v>148</v>
      </c>
      <c r="C315" s="103">
        <f t="shared" si="4"/>
        <v>312</v>
      </c>
      <c r="D315" s="103">
        <v>20</v>
      </c>
      <c r="E315" s="104" t="s">
        <v>204</v>
      </c>
      <c r="F315" s="102"/>
      <c r="G315" s="102"/>
    </row>
    <row r="316" spans="1:7">
      <c r="A316" s="102" t="s">
        <v>597</v>
      </c>
      <c r="B316" s="102" t="s">
        <v>50</v>
      </c>
      <c r="C316" s="103">
        <f t="shared" si="4"/>
        <v>313</v>
      </c>
      <c r="D316" s="103">
        <v>20</v>
      </c>
      <c r="E316" s="104" t="s">
        <v>204</v>
      </c>
      <c r="F316" s="102"/>
      <c r="G316" s="102"/>
    </row>
    <row r="317" spans="1:7">
      <c r="A317" s="102" t="s">
        <v>598</v>
      </c>
      <c r="B317" s="102" t="s">
        <v>99</v>
      </c>
      <c r="C317" s="103">
        <f t="shared" si="4"/>
        <v>314</v>
      </c>
      <c r="D317" s="103">
        <v>20</v>
      </c>
      <c r="E317" s="104" t="s">
        <v>204</v>
      </c>
      <c r="F317" s="102"/>
      <c r="G317" s="102"/>
    </row>
    <row r="318" spans="1:7" ht="28.8">
      <c r="A318" s="102" t="s">
        <v>599</v>
      </c>
      <c r="B318" s="102" t="s">
        <v>600</v>
      </c>
      <c r="C318" s="103">
        <f t="shared" si="4"/>
        <v>315</v>
      </c>
      <c r="D318" s="103">
        <v>10</v>
      </c>
      <c r="E318" s="104" t="s">
        <v>204</v>
      </c>
      <c r="F318" s="102"/>
      <c r="G318" s="102"/>
    </row>
    <row r="319" spans="1:7">
      <c r="A319" s="102" t="s">
        <v>601</v>
      </c>
      <c r="B319" s="102" t="s">
        <v>602</v>
      </c>
      <c r="C319" s="103">
        <f t="shared" si="4"/>
        <v>316</v>
      </c>
      <c r="D319" s="103">
        <v>3</v>
      </c>
      <c r="E319" s="104" t="s">
        <v>204</v>
      </c>
      <c r="F319" s="102"/>
      <c r="G319" s="102"/>
    </row>
    <row r="320" spans="1:7">
      <c r="A320" s="105" t="s">
        <v>603</v>
      </c>
      <c r="B320" s="105" t="s">
        <v>604</v>
      </c>
      <c r="C320" s="106">
        <f t="shared" si="4"/>
        <v>317</v>
      </c>
      <c r="D320" s="106">
        <v>150</v>
      </c>
      <c r="E320" s="107" t="s">
        <v>159</v>
      </c>
      <c r="F320" s="105"/>
      <c r="G320" s="105"/>
    </row>
    <row r="321" spans="1:7">
      <c r="A321" s="108"/>
      <c r="B321" s="108"/>
      <c r="C321" s="109"/>
      <c r="D321" s="110"/>
      <c r="E321" s="110"/>
      <c r="F321" s="110"/>
      <c r="G321" s="111"/>
    </row>
  </sheetData>
  <mergeCells count="1">
    <mergeCell ref="A1:G1"/>
  </mergeCells>
  <pageMargins left="0.7" right="0.7" top="0.75" bottom="0.75" header="0" footer="0"/>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48"/>
  <sheetViews>
    <sheetView topLeftCell="A94" workbookViewId="0"/>
  </sheetViews>
  <sheetFormatPr defaultColWidth="14.44140625" defaultRowHeight="15" customHeight="1"/>
  <cols>
    <col min="1" max="1" width="4" customWidth="1"/>
    <col min="2" max="2" width="6" customWidth="1"/>
    <col min="3" max="3" width="52.6640625" customWidth="1"/>
    <col min="4" max="4" width="38.109375" customWidth="1"/>
    <col min="5" max="5" width="4.109375" customWidth="1"/>
  </cols>
  <sheetData>
    <row r="1" spans="1:5" ht="14.4">
      <c r="A1" s="123"/>
      <c r="B1" s="123"/>
      <c r="C1" s="124"/>
      <c r="D1" s="125"/>
      <c r="E1" s="123"/>
    </row>
    <row r="2" spans="1:5" ht="15.6">
      <c r="A2" s="123"/>
      <c r="B2" s="123"/>
      <c r="C2" s="161" t="s">
        <v>638</v>
      </c>
      <c r="D2" s="160"/>
      <c r="E2" s="123"/>
    </row>
    <row r="3" spans="1:5" ht="15.6">
      <c r="A3" s="123"/>
      <c r="B3" s="123"/>
      <c r="C3" s="162" t="s">
        <v>639</v>
      </c>
      <c r="D3" s="163"/>
      <c r="E3" s="123"/>
    </row>
    <row r="4" spans="1:5" ht="15.6">
      <c r="A4" s="123"/>
      <c r="B4" s="123"/>
      <c r="C4" s="164" t="s">
        <v>640</v>
      </c>
      <c r="D4" s="165"/>
      <c r="E4" s="123"/>
    </row>
    <row r="5" spans="1:5" ht="14.4">
      <c r="A5" s="123"/>
      <c r="B5" s="123"/>
      <c r="C5" s="166" t="s">
        <v>641</v>
      </c>
      <c r="D5" s="167"/>
      <c r="E5" s="123"/>
    </row>
    <row r="6" spans="1:5" ht="14.4">
      <c r="A6" s="123"/>
      <c r="B6" s="123"/>
      <c r="C6" s="126" t="s">
        <v>642</v>
      </c>
      <c r="D6" s="127" t="s">
        <v>643</v>
      </c>
      <c r="E6" s="123"/>
    </row>
    <row r="7" spans="1:5" ht="14.4">
      <c r="A7" s="123"/>
      <c r="B7" s="123"/>
      <c r="C7" s="128" t="s">
        <v>644</v>
      </c>
      <c r="D7" s="129">
        <v>1</v>
      </c>
      <c r="E7" s="123"/>
    </row>
    <row r="8" spans="1:5" ht="14.4">
      <c r="A8" s="123"/>
      <c r="B8" s="123"/>
      <c r="C8" s="128" t="s">
        <v>645</v>
      </c>
      <c r="D8" s="129">
        <v>2</v>
      </c>
      <c r="E8" s="123"/>
    </row>
    <row r="9" spans="1:5" ht="14.4">
      <c r="A9" s="123"/>
      <c r="B9" s="123"/>
      <c r="C9" s="130" t="s">
        <v>646</v>
      </c>
      <c r="D9" s="131">
        <v>3</v>
      </c>
      <c r="E9" s="123"/>
    </row>
    <row r="10" spans="1:5" ht="14.4">
      <c r="A10" s="123"/>
      <c r="B10" s="123"/>
      <c r="C10" s="130" t="s">
        <v>647</v>
      </c>
      <c r="D10" s="131">
        <v>4</v>
      </c>
      <c r="E10" s="123"/>
    </row>
    <row r="11" spans="1:5" ht="14.4">
      <c r="A11" s="123"/>
      <c r="B11" s="123"/>
      <c r="C11" s="130" t="s">
        <v>648</v>
      </c>
      <c r="D11" s="131">
        <v>5</v>
      </c>
      <c r="E11" s="123"/>
    </row>
    <row r="12" spans="1:5" ht="14.4">
      <c r="A12" s="123"/>
      <c r="B12" s="123"/>
      <c r="C12" s="130" t="s">
        <v>649</v>
      </c>
      <c r="D12" s="131">
        <v>6</v>
      </c>
      <c r="E12" s="123"/>
    </row>
    <row r="13" spans="1:5" ht="14.4">
      <c r="A13" s="123"/>
      <c r="B13" s="123"/>
      <c r="C13" s="130" t="s">
        <v>650</v>
      </c>
      <c r="D13" s="131">
        <v>7</v>
      </c>
      <c r="E13" s="123"/>
    </row>
    <row r="14" spans="1:5" ht="14.4">
      <c r="A14" s="123"/>
      <c r="B14" s="123"/>
      <c r="C14" s="130" t="s">
        <v>651</v>
      </c>
      <c r="D14" s="131">
        <v>8</v>
      </c>
      <c r="E14" s="123"/>
    </row>
    <row r="15" spans="1:5" ht="14.4">
      <c r="A15" s="123"/>
      <c r="B15" s="123"/>
      <c r="C15" s="130" t="s">
        <v>652</v>
      </c>
      <c r="D15" s="131">
        <v>9</v>
      </c>
      <c r="E15" s="123"/>
    </row>
    <row r="16" spans="1:5" ht="14.4">
      <c r="A16" s="123"/>
      <c r="B16" s="123"/>
      <c r="C16" s="168" t="s">
        <v>653</v>
      </c>
      <c r="D16" s="163"/>
      <c r="E16" s="123"/>
    </row>
    <row r="17" spans="1:5" ht="14.4">
      <c r="A17" s="123"/>
      <c r="B17" s="123"/>
      <c r="C17" s="126" t="s">
        <v>642</v>
      </c>
      <c r="D17" s="127" t="s">
        <v>643</v>
      </c>
      <c r="E17" s="123"/>
    </row>
    <row r="18" spans="1:5" ht="14.4">
      <c r="A18" s="123"/>
      <c r="B18" s="123"/>
      <c r="C18" s="132" t="s">
        <v>654</v>
      </c>
      <c r="D18" s="129">
        <v>1</v>
      </c>
      <c r="E18" s="123"/>
    </row>
    <row r="19" spans="1:5" ht="14.4">
      <c r="A19" s="123"/>
      <c r="B19" s="123"/>
      <c r="C19" s="132" t="s">
        <v>655</v>
      </c>
      <c r="D19" s="129">
        <v>2</v>
      </c>
      <c r="E19" s="123"/>
    </row>
    <row r="20" spans="1:5" ht="14.4">
      <c r="A20" s="123"/>
      <c r="B20" s="123"/>
      <c r="C20" s="132" t="s">
        <v>656</v>
      </c>
      <c r="D20" s="129">
        <v>3</v>
      </c>
      <c r="E20" s="123"/>
    </row>
    <row r="21" spans="1:5" ht="15.75" customHeight="1">
      <c r="A21" s="123"/>
      <c r="B21" s="123"/>
      <c r="C21" s="133" t="s">
        <v>657</v>
      </c>
      <c r="D21" s="134">
        <v>4</v>
      </c>
      <c r="E21" s="123"/>
    </row>
    <row r="22" spans="1:5" ht="15.75" customHeight="1">
      <c r="A22" s="123"/>
      <c r="B22" s="123"/>
      <c r="C22" s="135"/>
      <c r="D22" s="136"/>
      <c r="E22" s="123"/>
    </row>
    <row r="23" spans="1:5" ht="15.75" customHeight="1">
      <c r="A23" s="123"/>
      <c r="B23" s="123"/>
      <c r="C23" s="164" t="s">
        <v>658</v>
      </c>
      <c r="D23" s="165"/>
      <c r="E23" s="123"/>
    </row>
    <row r="24" spans="1:5" ht="15.75" customHeight="1">
      <c r="A24" s="123"/>
      <c r="B24" s="123"/>
      <c r="C24" s="169" t="s">
        <v>641</v>
      </c>
      <c r="D24" s="160"/>
      <c r="E24" s="123"/>
    </row>
    <row r="25" spans="1:5" ht="15.75" customHeight="1">
      <c r="A25" s="123"/>
      <c r="B25" s="123"/>
      <c r="C25" s="126" t="s">
        <v>642</v>
      </c>
      <c r="D25" s="127" t="s">
        <v>643</v>
      </c>
      <c r="E25" s="123"/>
    </row>
    <row r="26" spans="1:5" ht="15.75" customHeight="1">
      <c r="A26" s="123"/>
      <c r="B26" s="123"/>
      <c r="C26" s="128" t="s">
        <v>644</v>
      </c>
      <c r="D26" s="129">
        <v>1</v>
      </c>
      <c r="E26" s="123"/>
    </row>
    <row r="27" spans="1:5" ht="15.75" customHeight="1">
      <c r="A27" s="123"/>
      <c r="B27" s="123"/>
      <c r="C27" s="128" t="s">
        <v>645</v>
      </c>
      <c r="D27" s="129">
        <v>2</v>
      </c>
      <c r="E27" s="123"/>
    </row>
    <row r="28" spans="1:5" ht="15.75" customHeight="1">
      <c r="A28" s="123"/>
      <c r="B28" s="123"/>
      <c r="C28" s="130" t="s">
        <v>646</v>
      </c>
      <c r="D28" s="131">
        <v>3</v>
      </c>
      <c r="E28" s="123"/>
    </row>
    <row r="29" spans="1:5" ht="15.75" customHeight="1">
      <c r="A29" s="123"/>
      <c r="B29" s="123"/>
      <c r="C29" s="130" t="s">
        <v>647</v>
      </c>
      <c r="D29" s="131">
        <v>4</v>
      </c>
      <c r="E29" s="123"/>
    </row>
    <row r="30" spans="1:5" ht="15.75" customHeight="1">
      <c r="A30" s="123"/>
      <c r="B30" s="123"/>
      <c r="C30" s="130" t="s">
        <v>648</v>
      </c>
      <c r="D30" s="131">
        <v>5</v>
      </c>
      <c r="E30" s="123"/>
    </row>
    <row r="31" spans="1:5" ht="15.75" customHeight="1">
      <c r="A31" s="123"/>
      <c r="B31" s="123"/>
      <c r="C31" s="130" t="s">
        <v>649</v>
      </c>
      <c r="D31" s="131">
        <v>6</v>
      </c>
      <c r="E31" s="123"/>
    </row>
    <row r="32" spans="1:5" ht="15.75" customHeight="1">
      <c r="A32" s="123"/>
      <c r="B32" s="123"/>
      <c r="C32" s="130" t="s">
        <v>650</v>
      </c>
      <c r="D32" s="131">
        <v>7</v>
      </c>
      <c r="E32" s="123"/>
    </row>
    <row r="33" spans="1:5" ht="15.75" customHeight="1">
      <c r="A33" s="123"/>
      <c r="B33" s="123"/>
      <c r="C33" s="130" t="s">
        <v>651</v>
      </c>
      <c r="D33" s="131">
        <v>8</v>
      </c>
      <c r="E33" s="123"/>
    </row>
    <row r="34" spans="1:5" ht="15.75" customHeight="1">
      <c r="A34" s="123"/>
      <c r="B34" s="123"/>
      <c r="C34" s="130" t="s">
        <v>652</v>
      </c>
      <c r="D34" s="131">
        <v>9</v>
      </c>
      <c r="E34" s="123"/>
    </row>
    <row r="35" spans="1:5" ht="15.75" customHeight="1">
      <c r="A35" s="123"/>
      <c r="B35" s="123"/>
      <c r="C35" s="170" t="s">
        <v>653</v>
      </c>
      <c r="D35" s="171"/>
      <c r="E35" s="123"/>
    </row>
    <row r="36" spans="1:5" ht="15.75" customHeight="1">
      <c r="A36" s="123"/>
      <c r="B36" s="123"/>
      <c r="C36" s="126" t="s">
        <v>642</v>
      </c>
      <c r="D36" s="127" t="s">
        <v>643</v>
      </c>
      <c r="E36" s="123"/>
    </row>
    <row r="37" spans="1:5" ht="15.75" customHeight="1">
      <c r="A37" s="123"/>
      <c r="B37" s="123"/>
      <c r="C37" s="132" t="s">
        <v>654</v>
      </c>
      <c r="D37" s="129">
        <v>1</v>
      </c>
      <c r="E37" s="123"/>
    </row>
    <row r="38" spans="1:5" ht="15.75" customHeight="1">
      <c r="A38" s="123"/>
      <c r="B38" s="123"/>
      <c r="C38" s="132" t="s">
        <v>659</v>
      </c>
      <c r="D38" s="129">
        <v>2</v>
      </c>
      <c r="E38" s="123"/>
    </row>
    <row r="39" spans="1:5" ht="15.75" customHeight="1">
      <c r="A39" s="123"/>
      <c r="B39" s="123"/>
      <c r="C39" s="132" t="s">
        <v>660</v>
      </c>
      <c r="D39" s="129">
        <v>3</v>
      </c>
      <c r="E39" s="123"/>
    </row>
    <row r="40" spans="1:5" ht="15.75" customHeight="1">
      <c r="A40" s="123"/>
      <c r="B40" s="123"/>
      <c r="C40" s="132" t="s">
        <v>656</v>
      </c>
      <c r="D40" s="129">
        <v>4</v>
      </c>
      <c r="E40" s="123"/>
    </row>
    <row r="41" spans="1:5" ht="15.75" customHeight="1">
      <c r="A41" s="123"/>
      <c r="B41" s="123"/>
      <c r="C41" s="133" t="s">
        <v>657</v>
      </c>
      <c r="D41" s="134">
        <v>5</v>
      </c>
      <c r="E41" s="123"/>
    </row>
    <row r="42" spans="1:5" ht="15.75" customHeight="1">
      <c r="A42" s="123"/>
      <c r="B42" s="123"/>
      <c r="C42" s="137"/>
      <c r="D42" s="136"/>
      <c r="E42" s="123"/>
    </row>
    <row r="43" spans="1:5" ht="15.75" customHeight="1">
      <c r="A43" s="123"/>
      <c r="B43" s="123"/>
      <c r="C43" s="164" t="s">
        <v>661</v>
      </c>
      <c r="D43" s="165"/>
      <c r="E43" s="123"/>
    </row>
    <row r="44" spans="1:5" ht="15.75" customHeight="1">
      <c r="A44" s="123"/>
      <c r="B44" s="123"/>
      <c r="C44" s="169" t="s">
        <v>641</v>
      </c>
      <c r="D44" s="160"/>
      <c r="E44" s="123"/>
    </row>
    <row r="45" spans="1:5" ht="15.75" customHeight="1">
      <c r="A45" s="123"/>
      <c r="B45" s="123"/>
      <c r="C45" s="126" t="s">
        <v>642</v>
      </c>
      <c r="D45" s="127" t="s">
        <v>643</v>
      </c>
      <c r="E45" s="123"/>
    </row>
    <row r="46" spans="1:5" ht="15" customHeight="1">
      <c r="A46" s="123"/>
      <c r="B46" s="123"/>
      <c r="C46" s="128" t="s">
        <v>644</v>
      </c>
      <c r="D46" s="129">
        <v>1</v>
      </c>
      <c r="E46" s="123"/>
    </row>
    <row r="47" spans="1:5" ht="15.75" customHeight="1">
      <c r="A47" s="123"/>
      <c r="B47" s="123"/>
      <c r="C47" s="128" t="s">
        <v>645</v>
      </c>
      <c r="D47" s="129">
        <v>2</v>
      </c>
      <c r="E47" s="123"/>
    </row>
    <row r="48" spans="1:5" ht="15.75" customHeight="1">
      <c r="A48" s="123"/>
      <c r="B48" s="123"/>
      <c r="C48" s="130" t="s">
        <v>646</v>
      </c>
      <c r="D48" s="131">
        <v>3</v>
      </c>
      <c r="E48" s="123"/>
    </row>
    <row r="49" spans="1:5" ht="15.75" customHeight="1">
      <c r="A49" s="123"/>
      <c r="B49" s="123"/>
      <c r="C49" s="130" t="s">
        <v>647</v>
      </c>
      <c r="D49" s="131">
        <v>4</v>
      </c>
      <c r="E49" s="123"/>
    </row>
    <row r="50" spans="1:5" ht="15.75" customHeight="1">
      <c r="A50" s="123"/>
      <c r="B50" s="123"/>
      <c r="C50" s="130" t="s">
        <v>648</v>
      </c>
      <c r="D50" s="131">
        <v>5</v>
      </c>
      <c r="E50" s="123"/>
    </row>
    <row r="51" spans="1:5" ht="15.75" customHeight="1">
      <c r="A51" s="123"/>
      <c r="B51" s="123"/>
      <c r="C51" s="130" t="s">
        <v>649</v>
      </c>
      <c r="D51" s="131">
        <v>6</v>
      </c>
      <c r="E51" s="123"/>
    </row>
    <row r="52" spans="1:5" ht="15.75" customHeight="1">
      <c r="A52" s="123"/>
      <c r="B52" s="123"/>
      <c r="C52" s="130" t="s">
        <v>650</v>
      </c>
      <c r="D52" s="131">
        <v>7</v>
      </c>
      <c r="E52" s="123"/>
    </row>
    <row r="53" spans="1:5" ht="15.75" customHeight="1">
      <c r="A53" s="123"/>
      <c r="B53" s="123"/>
      <c r="C53" s="130" t="s">
        <v>651</v>
      </c>
      <c r="D53" s="131">
        <v>8</v>
      </c>
      <c r="E53" s="123"/>
    </row>
    <row r="54" spans="1:5" ht="15.75" customHeight="1">
      <c r="A54" s="123"/>
      <c r="B54" s="123"/>
      <c r="C54" s="130" t="s">
        <v>652</v>
      </c>
      <c r="D54" s="131">
        <v>9</v>
      </c>
      <c r="E54" s="123"/>
    </row>
    <row r="55" spans="1:5" ht="15.75" customHeight="1">
      <c r="A55" s="123"/>
      <c r="B55" s="123"/>
      <c r="C55" s="170" t="s">
        <v>653</v>
      </c>
      <c r="D55" s="171"/>
      <c r="E55" s="123"/>
    </row>
    <row r="56" spans="1:5" ht="15.75" customHeight="1">
      <c r="A56" s="123"/>
      <c r="B56" s="123"/>
      <c r="C56" s="126" t="s">
        <v>642</v>
      </c>
      <c r="D56" s="127" t="s">
        <v>643</v>
      </c>
      <c r="E56" s="123"/>
    </row>
    <row r="57" spans="1:5" ht="15.75" customHeight="1">
      <c r="A57" s="123"/>
      <c r="B57" s="123"/>
      <c r="C57" s="132" t="s">
        <v>654</v>
      </c>
      <c r="D57" s="129">
        <v>1</v>
      </c>
      <c r="E57" s="123"/>
    </row>
    <row r="58" spans="1:5" ht="15.75" customHeight="1">
      <c r="A58" s="123"/>
      <c r="B58" s="123"/>
      <c r="C58" s="132" t="s">
        <v>659</v>
      </c>
      <c r="D58" s="129">
        <v>2</v>
      </c>
      <c r="E58" s="123"/>
    </row>
    <row r="59" spans="1:5" ht="15.75" customHeight="1">
      <c r="A59" s="123"/>
      <c r="B59" s="123"/>
      <c r="C59" s="132" t="s">
        <v>660</v>
      </c>
      <c r="D59" s="129">
        <v>3</v>
      </c>
      <c r="E59" s="123"/>
    </row>
    <row r="60" spans="1:5" ht="15.75" customHeight="1">
      <c r="A60" s="123"/>
      <c r="B60" s="123"/>
      <c r="C60" s="132" t="s">
        <v>656</v>
      </c>
      <c r="D60" s="129">
        <v>4</v>
      </c>
      <c r="E60" s="123"/>
    </row>
    <row r="61" spans="1:5" ht="15.75" customHeight="1">
      <c r="A61" s="123"/>
      <c r="B61" s="123"/>
      <c r="C61" s="132" t="s">
        <v>657</v>
      </c>
      <c r="D61" s="129">
        <v>5</v>
      </c>
      <c r="E61" s="123"/>
    </row>
    <row r="62" spans="1:5" ht="15.75" customHeight="1">
      <c r="A62" s="123"/>
      <c r="B62" s="123"/>
      <c r="C62" s="170" t="s">
        <v>662</v>
      </c>
      <c r="D62" s="171"/>
      <c r="E62" s="123"/>
    </row>
    <row r="63" spans="1:5" ht="15.75" customHeight="1">
      <c r="A63" s="123"/>
      <c r="B63" s="123"/>
      <c r="C63" s="126" t="s">
        <v>642</v>
      </c>
      <c r="D63" s="127" t="s">
        <v>643</v>
      </c>
      <c r="E63" s="123"/>
    </row>
    <row r="64" spans="1:5" ht="15.75" customHeight="1">
      <c r="A64" s="123"/>
      <c r="B64" s="123"/>
      <c r="C64" s="132" t="s">
        <v>663</v>
      </c>
      <c r="D64" s="129">
        <v>1</v>
      </c>
      <c r="E64" s="123"/>
    </row>
    <row r="65" spans="1:5" ht="15.75" customHeight="1">
      <c r="A65" s="123"/>
      <c r="B65" s="123"/>
      <c r="C65" s="138" t="s">
        <v>664</v>
      </c>
      <c r="D65" s="129">
        <v>2</v>
      </c>
      <c r="E65" s="123"/>
    </row>
    <row r="66" spans="1:5" ht="15.75" customHeight="1">
      <c r="A66" s="123"/>
      <c r="B66" s="123"/>
      <c r="C66" s="139" t="s">
        <v>665</v>
      </c>
      <c r="D66" s="134">
        <v>3</v>
      </c>
      <c r="E66" s="123"/>
    </row>
    <row r="67" spans="1:5" ht="15.75" customHeight="1">
      <c r="A67" s="123"/>
      <c r="B67" s="123"/>
      <c r="C67" s="140"/>
      <c r="D67" s="141"/>
      <c r="E67" s="123"/>
    </row>
    <row r="68" spans="1:5" ht="15.75" customHeight="1">
      <c r="A68" s="123"/>
      <c r="B68" s="123"/>
      <c r="C68" s="164" t="s">
        <v>666</v>
      </c>
      <c r="D68" s="165"/>
      <c r="E68" s="123"/>
    </row>
    <row r="69" spans="1:5" ht="15.75" customHeight="1">
      <c r="A69" s="123"/>
      <c r="B69" s="123"/>
      <c r="C69" s="169" t="s">
        <v>641</v>
      </c>
      <c r="D69" s="160"/>
      <c r="E69" s="123"/>
    </row>
    <row r="70" spans="1:5" ht="15.75" customHeight="1">
      <c r="A70" s="123"/>
      <c r="B70" s="123"/>
      <c r="C70" s="126" t="s">
        <v>642</v>
      </c>
      <c r="D70" s="127" t="s">
        <v>643</v>
      </c>
      <c r="E70" s="123"/>
    </row>
    <row r="71" spans="1:5" ht="15.75" customHeight="1">
      <c r="A71" s="123"/>
      <c r="B71" s="123"/>
      <c r="C71" s="128" t="s">
        <v>644</v>
      </c>
      <c r="D71" s="129">
        <v>1</v>
      </c>
      <c r="E71" s="123"/>
    </row>
    <row r="72" spans="1:5" ht="15.75" customHeight="1">
      <c r="A72" s="123"/>
      <c r="B72" s="123"/>
      <c r="C72" s="128" t="s">
        <v>645</v>
      </c>
      <c r="D72" s="129">
        <v>2</v>
      </c>
      <c r="E72" s="123"/>
    </row>
    <row r="73" spans="1:5" ht="15.75" customHeight="1">
      <c r="A73" s="123"/>
      <c r="B73" s="123"/>
      <c r="C73" s="130" t="s">
        <v>646</v>
      </c>
      <c r="D73" s="131">
        <v>3</v>
      </c>
      <c r="E73" s="123"/>
    </row>
    <row r="74" spans="1:5" ht="15.75" customHeight="1">
      <c r="A74" s="123"/>
      <c r="B74" s="123"/>
      <c r="C74" s="130" t="s">
        <v>647</v>
      </c>
      <c r="D74" s="131">
        <v>4</v>
      </c>
      <c r="E74" s="123"/>
    </row>
    <row r="75" spans="1:5" ht="15.75" customHeight="1">
      <c r="A75" s="123"/>
      <c r="B75" s="123"/>
      <c r="C75" s="130" t="s">
        <v>648</v>
      </c>
      <c r="D75" s="131">
        <v>5</v>
      </c>
      <c r="E75" s="123"/>
    </row>
    <row r="76" spans="1:5" ht="15.75" customHeight="1">
      <c r="A76" s="123"/>
      <c r="B76" s="123"/>
      <c r="C76" s="130" t="s">
        <v>649</v>
      </c>
      <c r="D76" s="131">
        <v>6</v>
      </c>
      <c r="E76" s="123"/>
    </row>
    <row r="77" spans="1:5" ht="15.75" customHeight="1">
      <c r="A77" s="123"/>
      <c r="B77" s="123"/>
      <c r="C77" s="130" t="s">
        <v>650</v>
      </c>
      <c r="D77" s="131">
        <v>7</v>
      </c>
      <c r="E77" s="123"/>
    </row>
    <row r="78" spans="1:5" ht="15.75" customHeight="1">
      <c r="A78" s="123"/>
      <c r="B78" s="123"/>
      <c r="C78" s="130" t="s">
        <v>651</v>
      </c>
      <c r="D78" s="131">
        <v>8</v>
      </c>
      <c r="E78" s="123"/>
    </row>
    <row r="79" spans="1:5" ht="15.75" customHeight="1">
      <c r="A79" s="123"/>
      <c r="B79" s="123"/>
      <c r="C79" s="130" t="s">
        <v>652</v>
      </c>
      <c r="D79" s="131">
        <v>9</v>
      </c>
      <c r="E79" s="123"/>
    </row>
    <row r="80" spans="1:5" ht="15.75" customHeight="1">
      <c r="A80" s="123"/>
      <c r="B80" s="123"/>
      <c r="C80" s="170" t="s">
        <v>653</v>
      </c>
      <c r="D80" s="171"/>
      <c r="E80" s="123"/>
    </row>
    <row r="81" spans="1:5" ht="15.75" customHeight="1">
      <c r="A81" s="123"/>
      <c r="B81" s="123"/>
      <c r="C81" s="126" t="s">
        <v>642</v>
      </c>
      <c r="D81" s="127" t="s">
        <v>643</v>
      </c>
      <c r="E81" s="123"/>
    </row>
    <row r="82" spans="1:5" ht="15.75" customHeight="1">
      <c r="A82" s="123"/>
      <c r="B82" s="123"/>
      <c r="C82" s="138" t="s">
        <v>667</v>
      </c>
      <c r="D82" s="129">
        <v>1</v>
      </c>
      <c r="E82" s="123"/>
    </row>
    <row r="83" spans="1:5" ht="15.75" customHeight="1">
      <c r="A83" s="123"/>
      <c r="B83" s="123"/>
      <c r="C83" s="138" t="s">
        <v>668</v>
      </c>
      <c r="D83" s="129">
        <v>2</v>
      </c>
      <c r="E83" s="123"/>
    </row>
    <row r="84" spans="1:5" ht="15.75" customHeight="1">
      <c r="A84" s="123"/>
      <c r="B84" s="123"/>
      <c r="C84" s="138" t="s">
        <v>669</v>
      </c>
      <c r="D84" s="129">
        <v>3</v>
      </c>
      <c r="E84" s="123"/>
    </row>
    <row r="85" spans="1:5" ht="15.75" customHeight="1">
      <c r="A85" s="123"/>
      <c r="B85" s="123"/>
      <c r="C85" s="138" t="s">
        <v>657</v>
      </c>
      <c r="D85" s="129">
        <v>4</v>
      </c>
      <c r="E85" s="123"/>
    </row>
    <row r="86" spans="1:5" ht="15.75" customHeight="1">
      <c r="A86" s="123"/>
      <c r="B86" s="123"/>
      <c r="C86" s="139" t="s">
        <v>670</v>
      </c>
      <c r="D86" s="134">
        <v>5</v>
      </c>
      <c r="E86" s="123"/>
    </row>
    <row r="87" spans="1:5" ht="15.75" customHeight="1">
      <c r="A87" s="123"/>
      <c r="B87" s="123"/>
      <c r="C87" s="137"/>
      <c r="D87" s="136"/>
      <c r="E87" s="123"/>
    </row>
    <row r="88" spans="1:5" ht="15.75" customHeight="1">
      <c r="A88" s="123"/>
      <c r="B88" s="123"/>
      <c r="C88" s="164" t="s">
        <v>671</v>
      </c>
      <c r="D88" s="165"/>
      <c r="E88" s="123"/>
    </row>
    <row r="89" spans="1:5" ht="15.75" customHeight="1">
      <c r="A89" s="123"/>
      <c r="B89" s="123"/>
      <c r="C89" s="169" t="s">
        <v>641</v>
      </c>
      <c r="D89" s="160"/>
      <c r="E89" s="123"/>
    </row>
    <row r="90" spans="1:5" ht="15.75" customHeight="1">
      <c r="A90" s="123"/>
      <c r="B90" s="123"/>
      <c r="C90" s="126" t="s">
        <v>642</v>
      </c>
      <c r="D90" s="127" t="s">
        <v>643</v>
      </c>
      <c r="E90" s="123"/>
    </row>
    <row r="91" spans="1:5" ht="15.75" customHeight="1">
      <c r="A91" s="123"/>
      <c r="B91" s="123"/>
      <c r="C91" s="128" t="s">
        <v>644</v>
      </c>
      <c r="D91" s="129">
        <v>1</v>
      </c>
      <c r="E91" s="123"/>
    </row>
    <row r="92" spans="1:5" ht="15.75" customHeight="1">
      <c r="A92" s="123"/>
      <c r="B92" s="123"/>
      <c r="C92" s="128" t="s">
        <v>645</v>
      </c>
      <c r="D92" s="129">
        <v>2</v>
      </c>
      <c r="E92" s="123"/>
    </row>
    <row r="93" spans="1:5" ht="15.75" customHeight="1">
      <c r="A93" s="123"/>
      <c r="B93" s="123"/>
      <c r="C93" s="130" t="s">
        <v>646</v>
      </c>
      <c r="D93" s="131">
        <v>3</v>
      </c>
      <c r="E93" s="123"/>
    </row>
    <row r="94" spans="1:5" ht="15.75" customHeight="1">
      <c r="A94" s="123"/>
      <c r="B94" s="123"/>
      <c r="C94" s="130" t="s">
        <v>647</v>
      </c>
      <c r="D94" s="131">
        <v>4</v>
      </c>
      <c r="E94" s="123"/>
    </row>
    <row r="95" spans="1:5" ht="15.75" customHeight="1">
      <c r="A95" s="123"/>
      <c r="B95" s="123"/>
      <c r="C95" s="130" t="s">
        <v>648</v>
      </c>
      <c r="D95" s="131">
        <v>5</v>
      </c>
      <c r="E95" s="123"/>
    </row>
    <row r="96" spans="1:5" ht="15.75" customHeight="1">
      <c r="A96" s="123"/>
      <c r="B96" s="123"/>
      <c r="C96" s="130" t="s">
        <v>649</v>
      </c>
      <c r="D96" s="131">
        <v>6</v>
      </c>
      <c r="E96" s="123"/>
    </row>
    <row r="97" spans="1:5" ht="15.75" customHeight="1">
      <c r="A97" s="123"/>
      <c r="B97" s="123"/>
      <c r="C97" s="130" t="s">
        <v>650</v>
      </c>
      <c r="D97" s="131">
        <v>7</v>
      </c>
      <c r="E97" s="123"/>
    </row>
    <row r="98" spans="1:5" ht="15.75" customHeight="1">
      <c r="A98" s="123"/>
      <c r="B98" s="123"/>
      <c r="C98" s="130" t="s">
        <v>651</v>
      </c>
      <c r="D98" s="131">
        <v>8</v>
      </c>
      <c r="E98" s="123"/>
    </row>
    <row r="99" spans="1:5" ht="15.75" customHeight="1">
      <c r="A99" s="123"/>
      <c r="B99" s="123"/>
      <c r="C99" s="130" t="s">
        <v>652</v>
      </c>
      <c r="D99" s="131">
        <v>9</v>
      </c>
      <c r="E99" s="123"/>
    </row>
    <row r="100" spans="1:5" ht="15.75" customHeight="1">
      <c r="A100" s="123"/>
      <c r="B100" s="123"/>
      <c r="C100" s="170" t="s">
        <v>653</v>
      </c>
      <c r="D100" s="171"/>
      <c r="E100" s="123"/>
    </row>
    <row r="101" spans="1:5" ht="15.75" customHeight="1">
      <c r="A101" s="123"/>
      <c r="B101" s="123"/>
      <c r="C101" s="126" t="s">
        <v>642</v>
      </c>
      <c r="D101" s="127" t="s">
        <v>643</v>
      </c>
      <c r="E101" s="123"/>
    </row>
    <row r="102" spans="1:5" ht="15.75" customHeight="1">
      <c r="A102" s="123"/>
      <c r="B102" s="123"/>
      <c r="C102" s="138" t="s">
        <v>667</v>
      </c>
      <c r="D102" s="129">
        <v>1</v>
      </c>
      <c r="E102" s="123"/>
    </row>
    <row r="103" spans="1:5" ht="15.75" customHeight="1">
      <c r="A103" s="123"/>
      <c r="B103" s="123"/>
      <c r="C103" s="138" t="s">
        <v>668</v>
      </c>
      <c r="D103" s="129">
        <v>2</v>
      </c>
      <c r="E103" s="123"/>
    </row>
    <row r="104" spans="1:5" ht="15.75" customHeight="1">
      <c r="A104" s="123"/>
      <c r="B104" s="123"/>
      <c r="C104" s="138" t="s">
        <v>669</v>
      </c>
      <c r="D104" s="129">
        <v>3</v>
      </c>
      <c r="E104" s="123"/>
    </row>
    <row r="105" spans="1:5" ht="15.75" customHeight="1">
      <c r="A105" s="123"/>
      <c r="B105" s="123"/>
      <c r="C105" s="138" t="s">
        <v>657</v>
      </c>
      <c r="D105" s="129">
        <v>4</v>
      </c>
      <c r="E105" s="123"/>
    </row>
    <row r="106" spans="1:5" ht="15.75" customHeight="1">
      <c r="A106" s="123"/>
      <c r="B106" s="123"/>
      <c r="C106" s="139" t="s">
        <v>670</v>
      </c>
      <c r="D106" s="134">
        <v>5</v>
      </c>
      <c r="E106" s="123"/>
    </row>
    <row r="107" spans="1:5" ht="15.75" customHeight="1">
      <c r="A107" s="123"/>
      <c r="B107" s="123"/>
      <c r="C107" s="137"/>
      <c r="D107" s="136"/>
      <c r="E107" s="123"/>
    </row>
    <row r="108" spans="1:5" ht="15.75" customHeight="1">
      <c r="A108" s="123"/>
      <c r="B108" s="123"/>
      <c r="C108" s="164" t="s">
        <v>672</v>
      </c>
      <c r="D108" s="165"/>
      <c r="E108" s="123"/>
    </row>
    <row r="109" spans="1:5" ht="15.75" customHeight="1">
      <c r="A109" s="123"/>
      <c r="B109" s="123"/>
      <c r="C109" s="169" t="s">
        <v>641</v>
      </c>
      <c r="D109" s="160"/>
      <c r="E109" s="123"/>
    </row>
    <row r="110" spans="1:5" ht="15.75" customHeight="1">
      <c r="A110" s="123"/>
      <c r="B110" s="123"/>
      <c r="C110" s="126" t="s">
        <v>642</v>
      </c>
      <c r="D110" s="127" t="s">
        <v>643</v>
      </c>
      <c r="E110" s="123"/>
    </row>
    <row r="111" spans="1:5" ht="15.75" customHeight="1">
      <c r="A111" s="123"/>
      <c r="B111" s="123"/>
      <c r="C111" s="128" t="s">
        <v>644</v>
      </c>
      <c r="D111" s="129">
        <v>1</v>
      </c>
      <c r="E111" s="123"/>
    </row>
    <row r="112" spans="1:5" ht="15.75" customHeight="1">
      <c r="A112" s="123"/>
      <c r="B112" s="123"/>
      <c r="C112" s="128" t="s">
        <v>645</v>
      </c>
      <c r="D112" s="129">
        <v>2</v>
      </c>
      <c r="E112" s="123"/>
    </row>
    <row r="113" spans="1:5" ht="15.75" customHeight="1">
      <c r="A113" s="123"/>
      <c r="B113" s="123"/>
      <c r="C113" s="130" t="s">
        <v>646</v>
      </c>
      <c r="D113" s="131">
        <v>3</v>
      </c>
      <c r="E113" s="123"/>
    </row>
    <row r="114" spans="1:5" ht="15.75" customHeight="1">
      <c r="A114" s="123"/>
      <c r="B114" s="123"/>
      <c r="C114" s="130" t="s">
        <v>647</v>
      </c>
      <c r="D114" s="131">
        <v>4</v>
      </c>
      <c r="E114" s="123"/>
    </row>
    <row r="115" spans="1:5" ht="15.75" customHeight="1">
      <c r="A115" s="123"/>
      <c r="B115" s="123"/>
      <c r="C115" s="130" t="s">
        <v>648</v>
      </c>
      <c r="D115" s="131">
        <v>5</v>
      </c>
      <c r="E115" s="123"/>
    </row>
    <row r="116" spans="1:5" ht="15.75" customHeight="1">
      <c r="A116" s="123"/>
      <c r="B116" s="123"/>
      <c r="C116" s="130" t="s">
        <v>649</v>
      </c>
      <c r="D116" s="131">
        <v>6</v>
      </c>
      <c r="E116" s="123"/>
    </row>
    <row r="117" spans="1:5" ht="15.75" customHeight="1">
      <c r="A117" s="123"/>
      <c r="B117" s="123"/>
      <c r="C117" s="130" t="s">
        <v>650</v>
      </c>
      <c r="D117" s="131">
        <v>7</v>
      </c>
      <c r="E117" s="123"/>
    </row>
    <row r="118" spans="1:5" ht="15.75" customHeight="1">
      <c r="A118" s="123"/>
      <c r="B118" s="123"/>
      <c r="C118" s="130" t="s">
        <v>651</v>
      </c>
      <c r="D118" s="131">
        <v>8</v>
      </c>
      <c r="E118" s="123"/>
    </row>
    <row r="119" spans="1:5" ht="15.75" customHeight="1">
      <c r="A119" s="123"/>
      <c r="B119" s="123"/>
      <c r="C119" s="130" t="s">
        <v>652</v>
      </c>
      <c r="D119" s="131">
        <v>9</v>
      </c>
      <c r="E119" s="123"/>
    </row>
    <row r="120" spans="1:5" ht="15.75" customHeight="1">
      <c r="A120" s="123"/>
      <c r="B120" s="123"/>
      <c r="C120" s="170" t="s">
        <v>653</v>
      </c>
      <c r="D120" s="171"/>
      <c r="E120" s="123"/>
    </row>
    <row r="121" spans="1:5" ht="15.75" customHeight="1">
      <c r="A121" s="123"/>
      <c r="B121" s="123"/>
      <c r="C121" s="126" t="s">
        <v>642</v>
      </c>
      <c r="D121" s="127" t="s">
        <v>643</v>
      </c>
      <c r="E121" s="123"/>
    </row>
    <row r="122" spans="1:5" ht="15.75" customHeight="1">
      <c r="A122" s="123"/>
      <c r="B122" s="123"/>
      <c r="C122" s="138" t="s">
        <v>673</v>
      </c>
      <c r="D122" s="129">
        <v>1</v>
      </c>
      <c r="E122" s="123"/>
    </row>
    <row r="123" spans="1:5" ht="15.75" customHeight="1">
      <c r="A123" s="123"/>
      <c r="B123" s="123"/>
      <c r="C123" s="138" t="s">
        <v>674</v>
      </c>
      <c r="D123" s="129">
        <v>2</v>
      </c>
      <c r="E123" s="123"/>
    </row>
    <row r="124" spans="1:5" ht="15.75" customHeight="1">
      <c r="A124" s="123"/>
      <c r="B124" s="123"/>
      <c r="C124" s="138" t="s">
        <v>657</v>
      </c>
      <c r="D124" s="129">
        <v>3</v>
      </c>
      <c r="E124" s="123"/>
    </row>
    <row r="125" spans="1:5" ht="15.75" customHeight="1">
      <c r="A125" s="123"/>
      <c r="B125" s="123"/>
      <c r="C125" s="138" t="s">
        <v>670</v>
      </c>
      <c r="D125" s="129">
        <v>4</v>
      </c>
      <c r="E125" s="123"/>
    </row>
    <row r="126" spans="1:5" ht="15.75" customHeight="1">
      <c r="A126" s="123"/>
      <c r="B126" s="123"/>
      <c r="C126" s="170" t="s">
        <v>675</v>
      </c>
      <c r="D126" s="171"/>
      <c r="E126" s="123"/>
    </row>
    <row r="127" spans="1:5" ht="15.75" customHeight="1">
      <c r="A127" s="123"/>
      <c r="B127" s="123"/>
      <c r="C127" s="126" t="s">
        <v>642</v>
      </c>
      <c r="D127" s="127" t="s">
        <v>643</v>
      </c>
      <c r="E127" s="123"/>
    </row>
    <row r="128" spans="1:5" ht="15.75" customHeight="1">
      <c r="A128" s="123"/>
      <c r="B128" s="123"/>
      <c r="C128" s="132" t="s">
        <v>676</v>
      </c>
      <c r="D128" s="129">
        <v>1</v>
      </c>
      <c r="E128" s="123"/>
    </row>
    <row r="129" spans="1:5" ht="15.75" customHeight="1">
      <c r="A129" s="123"/>
      <c r="B129" s="123"/>
      <c r="C129" s="132" t="s">
        <v>677</v>
      </c>
      <c r="D129" s="129">
        <v>2</v>
      </c>
      <c r="E129" s="123"/>
    </row>
    <row r="130" spans="1:5" ht="15.75" customHeight="1">
      <c r="A130" s="123"/>
      <c r="B130" s="123"/>
      <c r="C130" s="132" t="s">
        <v>678</v>
      </c>
      <c r="D130" s="129">
        <v>3</v>
      </c>
      <c r="E130" s="123"/>
    </row>
    <row r="131" spans="1:5" ht="15.75" customHeight="1">
      <c r="A131" s="123"/>
      <c r="B131" s="123"/>
      <c r="C131" s="132" t="s">
        <v>679</v>
      </c>
      <c r="D131" s="129">
        <v>4</v>
      </c>
      <c r="E131" s="123"/>
    </row>
    <row r="132" spans="1:5" ht="15.75" customHeight="1">
      <c r="A132" s="123"/>
      <c r="B132" s="123"/>
      <c r="C132" s="132" t="s">
        <v>680</v>
      </c>
      <c r="D132" s="129">
        <v>5</v>
      </c>
      <c r="E132" s="123"/>
    </row>
    <row r="133" spans="1:5" ht="15.75" customHeight="1">
      <c r="A133" s="123"/>
      <c r="B133" s="123"/>
      <c r="C133" s="170" t="s">
        <v>681</v>
      </c>
      <c r="D133" s="171"/>
      <c r="E133" s="123"/>
    </row>
    <row r="134" spans="1:5" ht="15.75" customHeight="1">
      <c r="A134" s="123"/>
      <c r="B134" s="123"/>
      <c r="C134" s="126" t="s">
        <v>642</v>
      </c>
      <c r="D134" s="127" t="s">
        <v>643</v>
      </c>
      <c r="E134" s="123"/>
    </row>
    <row r="135" spans="1:5" ht="15.75" customHeight="1">
      <c r="A135" s="123"/>
      <c r="B135" s="142"/>
      <c r="C135" s="143" t="s">
        <v>682</v>
      </c>
      <c r="D135" s="144">
        <v>1</v>
      </c>
      <c r="E135" s="145"/>
    </row>
    <row r="136" spans="1:5" ht="15.75" customHeight="1">
      <c r="A136" s="123"/>
      <c r="B136" s="142"/>
      <c r="C136" s="143" t="s">
        <v>683</v>
      </c>
      <c r="D136" s="144">
        <v>2</v>
      </c>
      <c r="E136" s="145"/>
    </row>
    <row r="137" spans="1:5" ht="15.75" customHeight="1">
      <c r="A137" s="123"/>
      <c r="B137" s="142"/>
      <c r="C137" s="143" t="s">
        <v>684</v>
      </c>
      <c r="D137" s="144">
        <v>3</v>
      </c>
      <c r="E137" s="145"/>
    </row>
    <row r="138" spans="1:5" ht="15.75" customHeight="1">
      <c r="A138" s="123"/>
      <c r="B138" s="142"/>
      <c r="C138" s="143" t="s">
        <v>685</v>
      </c>
      <c r="D138" s="144">
        <v>4</v>
      </c>
      <c r="E138" s="145"/>
    </row>
    <row r="139" spans="1:5" ht="15.75" customHeight="1">
      <c r="A139" s="123"/>
      <c r="B139" s="123"/>
      <c r="C139" s="170" t="s">
        <v>686</v>
      </c>
      <c r="D139" s="171"/>
      <c r="E139" s="123"/>
    </row>
    <row r="140" spans="1:5" ht="15.75" customHeight="1">
      <c r="A140" s="123"/>
      <c r="B140" s="123"/>
      <c r="C140" s="126" t="s">
        <v>642</v>
      </c>
      <c r="D140" s="127" t="s">
        <v>643</v>
      </c>
      <c r="E140" s="123"/>
    </row>
    <row r="141" spans="1:5" ht="15.75" customHeight="1">
      <c r="A141" s="123"/>
      <c r="B141" s="123"/>
      <c r="C141" s="132" t="s">
        <v>687</v>
      </c>
      <c r="D141" s="129">
        <v>1</v>
      </c>
      <c r="E141" s="123"/>
    </row>
    <row r="142" spans="1:5" ht="15.75" customHeight="1">
      <c r="A142" s="123"/>
      <c r="B142" s="123"/>
      <c r="C142" s="132" t="s">
        <v>688</v>
      </c>
      <c r="D142" s="129">
        <v>2</v>
      </c>
      <c r="E142" s="123"/>
    </row>
    <row r="143" spans="1:5" ht="15.75" customHeight="1">
      <c r="A143" s="123"/>
      <c r="B143" s="123"/>
      <c r="C143" s="132" t="s">
        <v>689</v>
      </c>
      <c r="D143" s="129">
        <v>3</v>
      </c>
      <c r="E143" s="123"/>
    </row>
    <row r="144" spans="1:5" ht="15.75" customHeight="1">
      <c r="A144" s="123"/>
      <c r="B144" s="123"/>
      <c r="C144" s="133" t="s">
        <v>690</v>
      </c>
      <c r="D144" s="134">
        <v>4</v>
      </c>
      <c r="E144" s="123"/>
    </row>
    <row r="145" spans="1:5" ht="15.75" customHeight="1">
      <c r="A145" s="123"/>
      <c r="B145" s="123"/>
      <c r="C145" s="124"/>
      <c r="D145" s="125"/>
      <c r="E145" s="123"/>
    </row>
    <row r="146" spans="1:5" ht="15.75" customHeight="1">
      <c r="A146" s="123"/>
      <c r="B146" s="123"/>
      <c r="C146" s="124"/>
      <c r="D146" s="125"/>
      <c r="E146" s="123"/>
    </row>
    <row r="147" spans="1:5" ht="15.75" customHeight="1">
      <c r="A147" s="123"/>
      <c r="B147" s="123"/>
      <c r="C147" s="124"/>
      <c r="D147" s="125"/>
      <c r="E147" s="123"/>
    </row>
    <row r="148" spans="1:5" ht="15.75" customHeight="1">
      <c r="A148" s="123"/>
      <c r="B148" s="123"/>
      <c r="C148" s="124"/>
      <c r="D148" s="125"/>
      <c r="E148" s="123"/>
    </row>
  </sheetData>
  <mergeCells count="24">
    <mergeCell ref="C133:D133"/>
    <mergeCell ref="C139:D139"/>
    <mergeCell ref="C80:D80"/>
    <mergeCell ref="C88:D88"/>
    <mergeCell ref="C89:D89"/>
    <mergeCell ref="C100:D100"/>
    <mergeCell ref="C108:D108"/>
    <mergeCell ref="C109:D109"/>
    <mergeCell ref="C120:D120"/>
    <mergeCell ref="C55:D55"/>
    <mergeCell ref="C62:D62"/>
    <mergeCell ref="C68:D68"/>
    <mergeCell ref="C69:D69"/>
    <mergeCell ref="C126:D126"/>
    <mergeCell ref="C23:D23"/>
    <mergeCell ref="C24:D24"/>
    <mergeCell ref="C35:D35"/>
    <mergeCell ref="C43:D43"/>
    <mergeCell ref="C44:D44"/>
    <mergeCell ref="C2:D2"/>
    <mergeCell ref="C3:D3"/>
    <mergeCell ref="C4:D4"/>
    <mergeCell ref="C5:D5"/>
    <mergeCell ref="C16:D16"/>
  </mergeCells>
  <pageMargins left="0.2" right="0.2" top="0.75" bottom="0.75" header="0" footer="0"/>
  <pageSetup scale="80" orientation="landscape"/>
  <headerFooter>
    <oddFooter>&amp;C&amp;P of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3"/>
  <sheetViews>
    <sheetView workbookViewId="0"/>
  </sheetViews>
  <sheetFormatPr defaultColWidth="14.44140625" defaultRowHeight="15" customHeight="1"/>
  <cols>
    <col min="1" max="1" width="4.5546875" customWidth="1"/>
    <col min="2" max="2" width="23.6640625" customWidth="1"/>
    <col min="3" max="3" width="36.44140625" customWidth="1"/>
    <col min="4" max="4" width="29.109375" customWidth="1"/>
    <col min="5" max="5" width="8.6640625" customWidth="1"/>
  </cols>
  <sheetData>
    <row r="1" spans="1:5" ht="9" customHeight="1">
      <c r="A1" s="110"/>
      <c r="B1" s="110"/>
      <c r="C1" s="110"/>
      <c r="D1" s="110"/>
      <c r="E1" s="110"/>
    </row>
    <row r="2" spans="1:5" ht="18">
      <c r="A2" s="110"/>
      <c r="B2" s="172" t="s">
        <v>691</v>
      </c>
      <c r="C2" s="173"/>
      <c r="D2" s="165"/>
    </row>
    <row r="3" spans="1:5" ht="15.6">
      <c r="A3" s="110"/>
      <c r="B3" s="146" t="s">
        <v>692</v>
      </c>
      <c r="C3" s="147" t="s">
        <v>693</v>
      </c>
      <c r="D3" s="148" t="s">
        <v>694</v>
      </c>
    </row>
    <row r="4" spans="1:5" ht="24.75" customHeight="1">
      <c r="A4" s="110"/>
      <c r="B4" s="149" t="s">
        <v>695</v>
      </c>
      <c r="C4" s="150" t="s">
        <v>696</v>
      </c>
      <c r="D4" s="151">
        <v>5</v>
      </c>
    </row>
    <row r="5" spans="1:5" ht="24.75" customHeight="1">
      <c r="A5" s="110"/>
      <c r="B5" s="152" t="s">
        <v>697</v>
      </c>
      <c r="C5" s="153" t="s">
        <v>698</v>
      </c>
      <c r="D5" s="154">
        <v>7</v>
      </c>
    </row>
    <row r="6" spans="1:5" ht="24.75" customHeight="1">
      <c r="A6" s="110"/>
      <c r="B6" s="152" t="s">
        <v>699</v>
      </c>
      <c r="C6" s="153" t="s">
        <v>700</v>
      </c>
      <c r="D6" s="154">
        <v>7</v>
      </c>
    </row>
    <row r="7" spans="1:5" ht="24.75" customHeight="1">
      <c r="A7" s="110"/>
      <c r="B7" s="152" t="s">
        <v>701</v>
      </c>
      <c r="C7" s="153" t="s">
        <v>702</v>
      </c>
      <c r="D7" s="154">
        <v>7</v>
      </c>
    </row>
    <row r="8" spans="1:5" ht="24.75" customHeight="1">
      <c r="A8" s="110"/>
      <c r="B8" s="152" t="s">
        <v>703</v>
      </c>
      <c r="C8" s="153" t="s">
        <v>704</v>
      </c>
      <c r="D8" s="154">
        <v>11</v>
      </c>
    </row>
    <row r="9" spans="1:5" ht="24.75" customHeight="1">
      <c r="A9" s="110"/>
      <c r="B9" s="152" t="s">
        <v>705</v>
      </c>
      <c r="C9" s="153" t="s">
        <v>706</v>
      </c>
      <c r="D9" s="154">
        <v>4</v>
      </c>
    </row>
    <row r="10" spans="1:5" ht="24.75" customHeight="1">
      <c r="A10" s="110"/>
      <c r="B10" s="152" t="s">
        <v>707</v>
      </c>
      <c r="C10" s="153" t="s">
        <v>708</v>
      </c>
      <c r="D10" s="154">
        <v>9</v>
      </c>
    </row>
    <row r="11" spans="1:5" ht="24.75" customHeight="1">
      <c r="A11" s="110"/>
      <c r="B11" s="152" t="s">
        <v>709</v>
      </c>
      <c r="C11" s="153" t="s">
        <v>710</v>
      </c>
      <c r="D11" s="154">
        <v>2</v>
      </c>
    </row>
    <row r="12" spans="1:5" ht="24.75" customHeight="1">
      <c r="A12" s="110"/>
      <c r="B12" s="152" t="s">
        <v>711</v>
      </c>
      <c r="C12" s="153" t="s">
        <v>712</v>
      </c>
      <c r="D12" s="154">
        <v>2</v>
      </c>
    </row>
    <row r="13" spans="1:5" ht="24.75" customHeight="1">
      <c r="A13" s="110"/>
      <c r="B13" s="152" t="s">
        <v>713</v>
      </c>
      <c r="C13" s="153" t="s">
        <v>714</v>
      </c>
      <c r="D13" s="154">
        <v>12</v>
      </c>
    </row>
    <row r="14" spans="1:5" ht="24.75" customHeight="1">
      <c r="A14" s="110"/>
      <c r="B14" s="152" t="s">
        <v>715</v>
      </c>
      <c r="C14" s="153" t="s">
        <v>716</v>
      </c>
      <c r="D14" s="154">
        <v>1</v>
      </c>
    </row>
    <row r="15" spans="1:5" ht="24.75" customHeight="1">
      <c r="A15" s="110"/>
      <c r="B15" s="152">
        <v>1</v>
      </c>
      <c r="C15" s="153" t="s">
        <v>717</v>
      </c>
      <c r="D15" s="154">
        <v>1</v>
      </c>
    </row>
    <row r="16" spans="1:5" ht="24.75" customHeight="1">
      <c r="A16" s="110"/>
      <c r="B16" s="152">
        <v>2</v>
      </c>
      <c r="C16" s="153" t="s">
        <v>718</v>
      </c>
      <c r="D16" s="154">
        <v>3</v>
      </c>
    </row>
    <row r="17" spans="1:4" ht="24.75" customHeight="1">
      <c r="A17" s="110"/>
      <c r="B17" s="152">
        <v>3</v>
      </c>
      <c r="C17" s="153" t="s">
        <v>719</v>
      </c>
      <c r="D17" s="154">
        <v>10</v>
      </c>
    </row>
    <row r="18" spans="1:4" ht="24.75" customHeight="1">
      <c r="A18" s="110"/>
      <c r="B18" s="152">
        <v>6</v>
      </c>
      <c r="C18" s="153" t="s">
        <v>720</v>
      </c>
      <c r="D18" s="154">
        <v>8</v>
      </c>
    </row>
    <row r="19" spans="1:4" ht="24.75" customHeight="1">
      <c r="A19" s="110"/>
      <c r="B19" s="152">
        <v>7</v>
      </c>
      <c r="C19" s="153" t="s">
        <v>721</v>
      </c>
      <c r="D19" s="154">
        <v>6</v>
      </c>
    </row>
    <row r="20" spans="1:4" ht="24.75" customHeight="1">
      <c r="A20" s="110"/>
      <c r="B20" s="155">
        <v>8</v>
      </c>
      <c r="C20" s="156" t="s">
        <v>722</v>
      </c>
      <c r="D20" s="157">
        <v>15</v>
      </c>
    </row>
    <row r="21" spans="1:4" ht="15.75" customHeight="1">
      <c r="A21" s="110"/>
    </row>
    <row r="22" spans="1:4" ht="15.75" customHeight="1">
      <c r="A22" s="110"/>
    </row>
    <row r="23" spans="1:4" ht="15.75" customHeight="1">
      <c r="A23" s="110"/>
    </row>
  </sheetData>
  <mergeCells count="1">
    <mergeCell ref="B2:D2"/>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System Layout_XLSX</vt:lpstr>
      <vt:lpstr>Domains Mapping</vt:lpstr>
      <vt:lpstr>Primary SRC (PreID) Translation</vt:lpstr>
      <vt:lpstr>'Domains Mapping'!Z_4D509F17_A40C_4E5F_BEE8_8CA21C0123F3_.wvu.PrintArea</vt:lpstr>
      <vt:lpstr>'Domains Mapping'!Z_74E312CB_8720_4075_8095_6CD2877439CE_.wvu.PrintArea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Fife, Dori</dc:creator>
  <cp:lastModifiedBy>Fife, Dori</cp:lastModifiedBy>
  <dcterms:created xsi:type="dcterms:W3CDTF">2022-05-02T19:03:57Z</dcterms:created>
  <dcterms:modified xsi:type="dcterms:W3CDTF">2022-05-02T19:11:29Z</dcterms:modified>
</cp:coreProperties>
</file>